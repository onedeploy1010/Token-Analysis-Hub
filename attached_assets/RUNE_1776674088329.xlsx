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参数面板" sheetId="1" state="visible" r:id="rId1"/>
    <sheet xmlns:r="http://schemas.openxmlformats.org/officeDocument/2006/relationships" name="01母币走势分析" sheetId="2" state="visible" r:id="rId2"/>
    <sheet xmlns:r="http://schemas.openxmlformats.org/officeDocument/2006/relationships" name="02子币走势分析" sheetId="3" state="visible" r:id="rId3"/>
    <sheet xmlns:r="http://schemas.openxmlformats.org/officeDocument/2006/relationships" name="03节点收益全景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0.000"/>
    <numFmt numFmtId="165" formatCode="0.0×"/>
    <numFmt numFmtId="166" formatCode="0.00×"/>
    <numFmt numFmtId="167" formatCode="0.000"/>
    <numFmt numFmtId="168" formatCode="$0.0000"/>
    <numFmt numFmtId="169" formatCode="#,##0.0"/>
  </numFmts>
  <fonts count="24">
    <font>
      <name val="Calibri"/>
      <family val="2"/>
      <color theme="1"/>
      <sz val="11"/>
      <scheme val="minor"/>
    </font>
    <font>
      <name val="微软雅黑"/>
      <b val="1"/>
      <color rgb="00E2B04A"/>
      <sz val="13"/>
    </font>
    <font>
      <name val="微软雅黑"/>
      <b val="1"/>
      <color rgb="00ECF0F1"/>
      <sz val="10"/>
    </font>
    <font>
      <name val="微软雅黑"/>
      <b val="1"/>
      <color rgb="007B3F00"/>
      <sz val="10"/>
    </font>
    <font>
      <name val="微软雅黑"/>
      <b val="1"/>
      <color rgb="001A5276"/>
      <sz val="10"/>
    </font>
    <font>
      <name val="微软雅黑"/>
      <b val="1"/>
      <color rgb="00555555"/>
      <sz val="10"/>
    </font>
    <font>
      <name val="微软雅黑"/>
      <b val="1"/>
      <color rgb="00F0E6CE"/>
      <sz val="11"/>
    </font>
    <font>
      <name val="微软雅黑"/>
      <b val="1"/>
      <color rgb="00FFFFFF"/>
      <sz val="10"/>
    </font>
    <font>
      <name val="微软雅黑"/>
      <color rgb="001A5276"/>
      <sz val="10"/>
    </font>
    <font>
      <name val="微软雅黑"/>
      <i val="1"/>
      <color rgb="00555555"/>
      <sz val="9"/>
    </font>
    <font>
      <name val="微软雅黑"/>
      <color rgb="007B3F00"/>
      <sz val="10"/>
    </font>
    <font>
      <name val="微软雅黑"/>
      <b val="1"/>
      <color rgb="004E342E"/>
      <sz val="9"/>
    </font>
    <font>
      <name val="微软雅黑"/>
      <color rgb="004E342E"/>
      <sz val="9"/>
    </font>
    <font>
      <name val="微软雅黑"/>
      <color rgb="007B3F00"/>
      <sz val="9"/>
    </font>
    <font>
      <name val="微软雅黑"/>
      <b val="1"/>
      <color rgb="001B5E20"/>
      <sz val="9"/>
    </font>
    <font>
      <name val="微软雅黑"/>
      <color rgb="001B5E20"/>
      <sz val="9"/>
    </font>
    <font>
      <name val="微软雅黑"/>
      <b val="1"/>
      <color rgb="00FFFFFF"/>
      <sz val="9"/>
    </font>
    <font>
      <name val="微软雅黑"/>
      <color rgb="00FFFFFF"/>
      <sz val="9"/>
    </font>
    <font>
      <name val="微软雅黑"/>
      <b val="1"/>
      <color rgb="000D47A1"/>
      <sz val="9"/>
    </font>
    <font>
      <name val="微软雅黑"/>
      <color rgb="000D47A1"/>
      <sz val="9"/>
    </font>
    <font>
      <name val="微软雅黑"/>
      <b val="1"/>
      <color rgb="00880E4F"/>
      <sz val="9"/>
    </font>
    <font>
      <name val="微软雅黑"/>
      <color rgb="00880E4F"/>
      <sz val="9"/>
    </font>
    <font>
      <name val="微软雅黑"/>
      <b val="1"/>
      <color rgb="00F0E6CE"/>
      <sz val="10"/>
    </font>
    <font>
      <name val="微软雅黑"/>
      <color rgb="001A5276"/>
      <sz val="9"/>
    </font>
  </fonts>
  <fills count="4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2E4057"/>
      </patternFill>
    </fill>
    <fill>
      <patternFill patternType="solid">
        <fgColor rgb="00345878"/>
      </patternFill>
    </fill>
    <fill>
      <patternFill patternType="solid">
        <fgColor rgb="00FFFDE7"/>
      </patternFill>
    </fill>
    <fill>
      <patternFill patternType="solid">
        <fgColor rgb="00FFF9DC"/>
      </patternFill>
    </fill>
    <fill>
      <patternFill patternType="solid">
        <fgColor rgb="00FFF3B0"/>
      </patternFill>
    </fill>
    <fill>
      <patternFill patternType="solid">
        <fgColor rgb="00FFE066"/>
      </patternFill>
    </fill>
    <fill>
      <patternFill patternType="solid">
        <fgColor rgb="00FFD700"/>
      </patternFill>
    </fill>
    <fill>
      <patternFill patternType="solid">
        <fgColor rgb="00FFC20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81C784"/>
      </patternFill>
    </fill>
    <fill>
      <patternFill patternType="solid">
        <fgColor rgb="004CAF50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90CAF9"/>
      </patternFill>
    </fill>
    <fill>
      <patternFill patternType="solid">
        <fgColor rgb="0064B5F6"/>
      </patternFill>
    </fill>
    <fill>
      <patternFill patternType="solid">
        <fgColor rgb="002196F3"/>
      </patternFill>
    </fill>
    <fill>
      <patternFill patternType="solid">
        <fgColor rgb="001565C0"/>
      </patternFill>
    </fill>
    <fill>
      <patternFill patternType="solid">
        <fgColor rgb="00FCE4EC"/>
      </patternFill>
    </fill>
    <fill>
      <patternFill patternType="solid">
        <fgColor rgb="00F8BBD0"/>
      </patternFill>
    </fill>
    <fill>
      <patternFill patternType="solid">
        <fgColor rgb="00F48FB1"/>
      </patternFill>
    </fill>
    <fill>
      <patternFill patternType="solid">
        <fgColor rgb="00F06292"/>
      </patternFill>
    </fill>
    <fill>
      <patternFill patternType="solid">
        <fgColor rgb="00E91E63"/>
      </patternFill>
    </fill>
    <fill>
      <patternFill patternType="solid">
        <fgColor rgb="00880E4F"/>
      </patternFill>
    </fill>
    <fill>
      <patternFill patternType="solid">
        <fgColor rgb="00FF8F00"/>
      </patternFill>
    </fill>
    <fill>
      <patternFill patternType="solid">
        <fgColor rgb="00388E3C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082952"/>
      </patternFill>
    </fill>
    <fill>
      <patternFill patternType="solid">
        <fgColor rgb="00C2185B"/>
      </patternFill>
    </fill>
    <fill>
      <patternFill patternType="solid">
        <fgColor rgb="0056002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10" fontId="8" fillId="5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3" fontId="12" fillId="9" borderId="1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horizontal="center" vertical="center" wrapText="1"/>
    </xf>
    <xf numFmtId="4" fontId="12" fillId="9" borderId="1" applyAlignment="1" pivotButton="0" quotePrefix="0" xfId="0">
      <alignment horizontal="center" vertical="center" wrapText="1"/>
    </xf>
    <xf numFmtId="4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3" fontId="11" fillId="10" borderId="1" applyAlignment="1" pivotButton="0" quotePrefix="0" xfId="0">
      <alignment horizontal="center" vertical="center" wrapText="1"/>
    </xf>
    <xf numFmtId="164" fontId="11" fillId="10" borderId="1" applyAlignment="1" pivotButton="0" quotePrefix="0" xfId="0">
      <alignment horizontal="center" vertical="center" wrapText="1"/>
    </xf>
    <xf numFmtId="3" fontId="12" fillId="10" borderId="1" applyAlignment="1" pivotButton="0" quotePrefix="0" xfId="0">
      <alignment horizontal="center" vertical="center" wrapText="1"/>
    </xf>
    <xf numFmtId="166" fontId="12" fillId="10" borderId="1" applyAlignment="1" pivotButton="0" quotePrefix="0" xfId="0">
      <alignment horizontal="center" vertical="center" wrapText="1"/>
    </xf>
    <xf numFmtId="4" fontId="12" fillId="10" borderId="1" applyAlignment="1" pivotButton="0" quotePrefix="0" xfId="0">
      <alignment horizontal="center" vertical="center" wrapText="1"/>
    </xf>
    <xf numFmtId="4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center" vertical="center" wrapText="1"/>
    </xf>
    <xf numFmtId="3" fontId="12" fillId="11" borderId="1" applyAlignment="1" pivotButton="0" quotePrefix="0" xfId="0">
      <alignment horizontal="center" vertical="center" wrapText="1"/>
    </xf>
    <xf numFmtId="166" fontId="12" fillId="11" borderId="1" applyAlignment="1" pivotButton="0" quotePrefix="0" xfId="0">
      <alignment horizontal="center" vertical="center" wrapText="1"/>
    </xf>
    <xf numFmtId="4" fontId="12" fillId="11" borderId="1" applyAlignment="1" pivotButton="0" quotePrefix="0" xfId="0">
      <alignment horizontal="center" vertical="center" wrapText="1"/>
    </xf>
    <xf numFmtId="4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3" fontId="11" fillId="12" borderId="1" applyAlignment="1" pivotButton="0" quotePrefix="0" xfId="0">
      <alignment horizontal="center" vertical="center" wrapText="1"/>
    </xf>
    <xf numFmtId="164" fontId="11" fillId="12" borderId="1" applyAlignment="1" pivotButton="0" quotePrefix="0" xfId="0">
      <alignment horizontal="center" vertical="center" wrapText="1"/>
    </xf>
    <xf numFmtId="3" fontId="12" fillId="12" borderId="1" applyAlignment="1" pivotButton="0" quotePrefix="0" xfId="0">
      <alignment horizontal="center" vertical="center" wrapText="1"/>
    </xf>
    <xf numFmtId="166" fontId="12" fillId="12" borderId="1" applyAlignment="1" pivotButton="0" quotePrefix="0" xfId="0">
      <alignment horizontal="center" vertical="center" wrapText="1"/>
    </xf>
    <xf numFmtId="4" fontId="12" fillId="12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3" fontId="11" fillId="13" borderId="1" applyAlignment="1" pivotButton="0" quotePrefix="0" xfId="0">
      <alignment horizontal="center" vertical="center" wrapText="1"/>
    </xf>
    <xf numFmtId="164" fontId="11" fillId="13" borderId="1" applyAlignment="1" pivotButton="0" quotePrefix="0" xfId="0">
      <alignment horizontal="center" vertical="center" wrapText="1"/>
    </xf>
    <xf numFmtId="3" fontId="12" fillId="13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166" fontId="12" fillId="13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3" fontId="11" fillId="14" borderId="1" applyAlignment="1" pivotButton="0" quotePrefix="0" xfId="0">
      <alignment horizontal="center" vertical="center" wrapText="1"/>
    </xf>
    <xf numFmtId="164" fontId="11" fillId="14" borderId="1" applyAlignment="1" pivotButton="0" quotePrefix="0" xfId="0">
      <alignment horizontal="center" vertical="center" wrapText="1"/>
    </xf>
    <xf numFmtId="3" fontId="12" fillId="14" borderId="1" applyAlignment="1" pivotButton="0" quotePrefix="0" xfId="0">
      <alignment horizontal="center" vertical="center" wrapText="1"/>
    </xf>
    <xf numFmtId="166" fontId="12" fillId="14" borderId="1" applyAlignment="1" pivotButton="0" quotePrefix="0" xfId="0">
      <alignment horizontal="center" vertical="center" wrapText="1"/>
    </xf>
    <xf numFmtId="4" fontId="12" fillId="14" borderId="1" applyAlignment="1" pivotButton="0" quotePrefix="0" xfId="0">
      <alignment horizontal="center" vertical="center" wrapText="1"/>
    </xf>
    <xf numFmtId="4" fontId="11" fillId="1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4" fillId="15" borderId="1" applyAlignment="1" pivotButton="0" quotePrefix="0" xfId="0">
      <alignment horizontal="center" vertical="center" wrapText="1"/>
    </xf>
    <xf numFmtId="3" fontId="14" fillId="15" borderId="1" applyAlignment="1" pivotButton="0" quotePrefix="0" xfId="0">
      <alignment horizontal="center" vertical="center" wrapText="1"/>
    </xf>
    <xf numFmtId="164" fontId="14" fillId="15" borderId="1" applyAlignment="1" pivotButton="0" quotePrefix="0" xfId="0">
      <alignment horizontal="center" vertical="center" wrapText="1"/>
    </xf>
    <xf numFmtId="3" fontId="15" fillId="15" borderId="1" applyAlignment="1" pivotButton="0" quotePrefix="0" xfId="0">
      <alignment horizontal="center" vertical="center" wrapText="1"/>
    </xf>
    <xf numFmtId="166" fontId="15" fillId="15" borderId="1" applyAlignment="1" pivotButton="0" quotePrefix="0" xfId="0">
      <alignment horizontal="center" vertical="center" wrapText="1"/>
    </xf>
    <xf numFmtId="4" fontId="15" fillId="15" borderId="1" applyAlignment="1" pivotButton="0" quotePrefix="0" xfId="0">
      <alignment horizontal="center" vertical="center" wrapText="1"/>
    </xf>
    <xf numFmtId="4" fontId="14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3" fontId="14" fillId="16" borderId="1" applyAlignment="1" pivotButton="0" quotePrefix="0" xfId="0">
      <alignment horizontal="center" vertical="center" wrapText="1"/>
    </xf>
    <xf numFmtId="164" fontId="14" fillId="16" borderId="1" applyAlignment="1" pivotButton="0" quotePrefix="0" xfId="0">
      <alignment horizontal="center" vertical="center" wrapText="1"/>
    </xf>
    <xf numFmtId="3" fontId="15" fillId="16" borderId="1" applyAlignment="1" pivotButton="0" quotePrefix="0" xfId="0">
      <alignment horizontal="center" vertical="center" wrapText="1"/>
    </xf>
    <xf numFmtId="166" fontId="15" fillId="16" borderId="1" applyAlignment="1" pivotButton="0" quotePrefix="0" xfId="0">
      <alignment horizontal="center" vertical="center" wrapText="1"/>
    </xf>
    <xf numFmtId="4" fontId="15" fillId="16" borderId="1" applyAlignment="1" pivotButton="0" quotePrefix="0" xfId="0">
      <alignment horizontal="center" vertical="center" wrapText="1"/>
    </xf>
    <xf numFmtId="4" fontId="14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3" fontId="14" fillId="17" borderId="1" applyAlignment="1" pivotButton="0" quotePrefix="0" xfId="0">
      <alignment horizontal="center" vertical="center" wrapText="1"/>
    </xf>
    <xf numFmtId="164" fontId="14" fillId="17" borderId="1" applyAlignment="1" pivotButton="0" quotePrefix="0" xfId="0">
      <alignment horizontal="center" vertical="center" wrapText="1"/>
    </xf>
    <xf numFmtId="3" fontId="15" fillId="17" borderId="1" applyAlignment="1" pivotButton="0" quotePrefix="0" xfId="0">
      <alignment horizontal="center" vertical="center" wrapText="1"/>
    </xf>
    <xf numFmtId="166" fontId="15" fillId="17" borderId="1" applyAlignment="1" pivotButton="0" quotePrefix="0" xfId="0">
      <alignment horizontal="center" vertical="center" wrapText="1"/>
    </xf>
    <xf numFmtId="4" fontId="15" fillId="17" borderId="1" applyAlignment="1" pivotButton="0" quotePrefix="0" xfId="0">
      <alignment horizontal="center" vertical="center" wrapText="1"/>
    </xf>
    <xf numFmtId="4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3" fontId="14" fillId="18" borderId="1" applyAlignment="1" pivotButton="0" quotePrefix="0" xfId="0">
      <alignment horizontal="center" vertical="center" wrapText="1"/>
    </xf>
    <xf numFmtId="164" fontId="14" fillId="18" borderId="1" applyAlignment="1" pivotButton="0" quotePrefix="0" xfId="0">
      <alignment horizontal="center" vertical="center" wrapText="1"/>
    </xf>
    <xf numFmtId="3" fontId="15" fillId="18" borderId="1" applyAlignment="1" pivotButton="0" quotePrefix="0" xfId="0">
      <alignment horizontal="center" vertical="center" wrapText="1"/>
    </xf>
    <xf numFmtId="166" fontId="15" fillId="18" borderId="1" applyAlignment="1" pivotButton="0" quotePrefix="0" xfId="0">
      <alignment horizontal="center" vertical="center" wrapText="1"/>
    </xf>
    <xf numFmtId="4" fontId="15" fillId="18" borderId="1" applyAlignment="1" pivotButton="0" quotePrefix="0" xfId="0">
      <alignment horizontal="center" vertical="center" wrapText="1"/>
    </xf>
    <xf numFmtId="4" fontId="14" fillId="18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3" fontId="16" fillId="19" borderId="1" applyAlignment="1" pivotButton="0" quotePrefix="0" xfId="0">
      <alignment horizontal="center" vertical="center" wrapText="1"/>
    </xf>
    <xf numFmtId="164" fontId="16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166" fontId="17" fillId="19" borderId="1" applyAlignment="1" pivotButton="0" quotePrefix="0" xfId="0">
      <alignment horizontal="center" vertical="center" wrapText="1"/>
    </xf>
    <xf numFmtId="4" fontId="17" fillId="19" borderId="1" applyAlignment="1" pivotButton="0" quotePrefix="0" xfId="0">
      <alignment horizontal="center" vertical="center" wrapText="1"/>
    </xf>
    <xf numFmtId="4" fontId="16" fillId="19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3" fontId="16" fillId="20" borderId="1" applyAlignment="1" pivotButton="0" quotePrefix="0" xfId="0">
      <alignment horizontal="center" vertical="center" wrapText="1"/>
    </xf>
    <xf numFmtId="164" fontId="16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166" fontId="17" fillId="20" borderId="1" applyAlignment="1" pivotButton="0" quotePrefix="0" xfId="0">
      <alignment horizontal="center" vertical="center" wrapText="1"/>
    </xf>
    <xf numFmtId="4" fontId="17" fillId="20" borderId="1" applyAlignment="1" pivotButton="0" quotePrefix="0" xfId="0">
      <alignment horizontal="center" vertical="center" wrapText="1"/>
    </xf>
    <xf numFmtId="4" fontId="16" fillId="20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3" fontId="18" fillId="21" borderId="1" applyAlignment="1" pivotButton="0" quotePrefix="0" xfId="0">
      <alignment horizontal="center" vertical="center" wrapText="1"/>
    </xf>
    <xf numFmtId="164" fontId="18" fillId="21" borderId="1" applyAlignment="1" pivotButton="0" quotePrefix="0" xfId="0">
      <alignment horizontal="center" vertical="center" wrapText="1"/>
    </xf>
    <xf numFmtId="3" fontId="19" fillId="21" borderId="1" applyAlignment="1" pivotButton="0" quotePrefix="0" xfId="0">
      <alignment horizontal="center" vertical="center" wrapText="1"/>
    </xf>
    <xf numFmtId="166" fontId="19" fillId="21" borderId="1" applyAlignment="1" pivotButton="0" quotePrefix="0" xfId="0">
      <alignment horizontal="center" vertical="center" wrapText="1"/>
    </xf>
    <xf numFmtId="4" fontId="19" fillId="21" borderId="1" applyAlignment="1" pivotButton="0" quotePrefix="0" xfId="0">
      <alignment horizontal="center" vertical="center" wrapText="1"/>
    </xf>
    <xf numFmtId="4" fontId="18" fillId="21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 wrapText="1"/>
    </xf>
    <xf numFmtId="3" fontId="18" fillId="22" borderId="1" applyAlignment="1" pivotButton="0" quotePrefix="0" xfId="0">
      <alignment horizontal="center" vertical="center" wrapText="1"/>
    </xf>
    <xf numFmtId="164" fontId="18" fillId="22" borderId="1" applyAlignment="1" pivotButton="0" quotePrefix="0" xfId="0">
      <alignment horizontal="center" vertical="center" wrapText="1"/>
    </xf>
    <xf numFmtId="3" fontId="19" fillId="22" borderId="1" applyAlignment="1" pivotButton="0" quotePrefix="0" xfId="0">
      <alignment horizontal="center" vertical="center" wrapText="1"/>
    </xf>
    <xf numFmtId="166" fontId="19" fillId="22" borderId="1" applyAlignment="1" pivotButton="0" quotePrefix="0" xfId="0">
      <alignment horizontal="center" vertical="center" wrapText="1"/>
    </xf>
    <xf numFmtId="4" fontId="19" fillId="22" borderId="1" applyAlignment="1" pivotButton="0" quotePrefix="0" xfId="0">
      <alignment horizontal="center" vertical="center" wrapText="1"/>
    </xf>
    <xf numFmtId="4" fontId="18" fillId="22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3" fontId="18" fillId="23" borderId="1" applyAlignment="1" pivotButton="0" quotePrefix="0" xfId="0">
      <alignment horizontal="center" vertical="center" wrapText="1"/>
    </xf>
    <xf numFmtId="164" fontId="18" fillId="23" borderId="1" applyAlignment="1" pivotButton="0" quotePrefix="0" xfId="0">
      <alignment horizontal="center" vertical="center" wrapText="1"/>
    </xf>
    <xf numFmtId="3" fontId="19" fillId="23" borderId="1" applyAlignment="1" pivotButton="0" quotePrefix="0" xfId="0">
      <alignment horizontal="center" vertical="center" wrapText="1"/>
    </xf>
    <xf numFmtId="166" fontId="19" fillId="23" borderId="1" applyAlignment="1" pivotButton="0" quotePrefix="0" xfId="0">
      <alignment horizontal="center" vertical="center" wrapText="1"/>
    </xf>
    <xf numFmtId="4" fontId="19" fillId="23" borderId="1" applyAlignment="1" pivotButton="0" quotePrefix="0" xfId="0">
      <alignment horizontal="center" vertical="center" wrapText="1"/>
    </xf>
    <xf numFmtId="4" fontId="18" fillId="23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center" vertical="center" wrapText="1"/>
    </xf>
    <xf numFmtId="3" fontId="18" fillId="24" borderId="1" applyAlignment="1" pivotButton="0" quotePrefix="0" xfId="0">
      <alignment horizontal="center" vertical="center" wrapText="1"/>
    </xf>
    <xf numFmtId="164" fontId="18" fillId="24" borderId="1" applyAlignment="1" pivotButton="0" quotePrefix="0" xfId="0">
      <alignment horizontal="center" vertical="center" wrapText="1"/>
    </xf>
    <xf numFmtId="3" fontId="19" fillId="24" borderId="1" applyAlignment="1" pivotButton="0" quotePrefix="0" xfId="0">
      <alignment horizontal="center" vertical="center" wrapText="1"/>
    </xf>
    <xf numFmtId="166" fontId="19" fillId="24" borderId="1" applyAlignment="1" pivotButton="0" quotePrefix="0" xfId="0">
      <alignment horizontal="center" vertical="center" wrapText="1"/>
    </xf>
    <xf numFmtId="4" fontId="19" fillId="24" borderId="1" applyAlignment="1" pivotButton="0" quotePrefix="0" xfId="0">
      <alignment horizontal="center" vertical="center" wrapText="1"/>
    </xf>
    <xf numFmtId="4" fontId="18" fillId="24" borderId="1" applyAlignment="1" pivotButton="0" quotePrefix="0" xfId="0">
      <alignment horizontal="center" vertical="center" wrapText="1"/>
    </xf>
    <xf numFmtId="0" fontId="16" fillId="25" borderId="1" applyAlignment="1" pivotButton="0" quotePrefix="0" xfId="0">
      <alignment horizontal="center" vertical="center" wrapText="1"/>
    </xf>
    <xf numFmtId="3" fontId="16" fillId="25" borderId="1" applyAlignment="1" pivotButton="0" quotePrefix="0" xfId="0">
      <alignment horizontal="center" vertical="center" wrapText="1"/>
    </xf>
    <xf numFmtId="164" fontId="16" fillId="25" borderId="1" applyAlignment="1" pivotButton="0" quotePrefix="0" xfId="0">
      <alignment horizontal="center" vertical="center" wrapText="1"/>
    </xf>
    <xf numFmtId="3" fontId="17" fillId="25" borderId="1" applyAlignment="1" pivotButton="0" quotePrefix="0" xfId="0">
      <alignment horizontal="center" vertical="center" wrapText="1"/>
    </xf>
    <xf numFmtId="166" fontId="17" fillId="25" borderId="1" applyAlignment="1" pivotButton="0" quotePrefix="0" xfId="0">
      <alignment horizontal="center" vertical="center" wrapText="1"/>
    </xf>
    <xf numFmtId="4" fontId="17" fillId="25" borderId="1" applyAlignment="1" pivotButton="0" quotePrefix="0" xfId="0">
      <alignment horizontal="center" vertical="center" wrapText="1"/>
    </xf>
    <xf numFmtId="4" fontId="16" fillId="25" borderId="1" applyAlignment="1" pivotButton="0" quotePrefix="0" xfId="0">
      <alignment horizontal="center" vertical="center" wrapText="1"/>
    </xf>
    <xf numFmtId="0" fontId="16" fillId="26" borderId="1" applyAlignment="1" pivotButton="0" quotePrefix="0" xfId="0">
      <alignment horizontal="center" vertical="center" wrapText="1"/>
    </xf>
    <xf numFmtId="3" fontId="16" fillId="26" borderId="1" applyAlignment="1" pivotButton="0" quotePrefix="0" xfId="0">
      <alignment horizontal="center" vertical="center" wrapText="1"/>
    </xf>
    <xf numFmtId="164" fontId="16" fillId="26" borderId="1" applyAlignment="1" pivotButton="0" quotePrefix="0" xfId="0">
      <alignment horizontal="center" vertical="center" wrapText="1"/>
    </xf>
    <xf numFmtId="3" fontId="17" fillId="26" borderId="1" applyAlignment="1" pivotButton="0" quotePrefix="0" xfId="0">
      <alignment horizontal="center" vertical="center" wrapText="1"/>
    </xf>
    <xf numFmtId="166" fontId="17" fillId="26" borderId="1" applyAlignment="1" pivotButton="0" quotePrefix="0" xfId="0">
      <alignment horizontal="center" vertical="center" wrapText="1"/>
    </xf>
    <xf numFmtId="4" fontId="17" fillId="26" borderId="1" applyAlignment="1" pivotButton="0" quotePrefix="0" xfId="0">
      <alignment horizontal="center" vertical="center" wrapText="1"/>
    </xf>
    <xf numFmtId="4" fontId="16" fillId="26" borderId="1" applyAlignment="1" pivotButton="0" quotePrefix="0" xfId="0">
      <alignment horizontal="center" vertical="center" wrapText="1"/>
    </xf>
    <xf numFmtId="0" fontId="20" fillId="27" borderId="1" applyAlignment="1" pivotButton="0" quotePrefix="0" xfId="0">
      <alignment horizontal="center" vertical="center" wrapText="1"/>
    </xf>
    <xf numFmtId="3" fontId="20" fillId="27" borderId="1" applyAlignment="1" pivotButton="0" quotePrefix="0" xfId="0">
      <alignment horizontal="center" vertical="center" wrapText="1"/>
    </xf>
    <xf numFmtId="164" fontId="20" fillId="27" borderId="1" applyAlignment="1" pivotButton="0" quotePrefix="0" xfId="0">
      <alignment horizontal="center" vertical="center" wrapText="1"/>
    </xf>
    <xf numFmtId="3" fontId="21" fillId="27" borderId="1" applyAlignment="1" pivotButton="0" quotePrefix="0" xfId="0">
      <alignment horizontal="center" vertical="center" wrapText="1"/>
    </xf>
    <xf numFmtId="166" fontId="21" fillId="27" borderId="1" applyAlignment="1" pivotButton="0" quotePrefix="0" xfId="0">
      <alignment horizontal="center" vertical="center" wrapText="1"/>
    </xf>
    <xf numFmtId="4" fontId="21" fillId="27" borderId="1" applyAlignment="1" pivotButton="0" quotePrefix="0" xfId="0">
      <alignment horizontal="center" vertical="center" wrapText="1"/>
    </xf>
    <xf numFmtId="4" fontId="20" fillId="27" borderId="1" applyAlignment="1" pivotButton="0" quotePrefix="0" xfId="0">
      <alignment horizontal="center" vertical="center" wrapText="1"/>
    </xf>
    <xf numFmtId="0" fontId="20" fillId="28" borderId="1" applyAlignment="1" pivotButton="0" quotePrefix="0" xfId="0">
      <alignment horizontal="center" vertical="center" wrapText="1"/>
    </xf>
    <xf numFmtId="3" fontId="20" fillId="28" borderId="1" applyAlignment="1" pivotButton="0" quotePrefix="0" xfId="0">
      <alignment horizontal="center" vertical="center" wrapText="1"/>
    </xf>
    <xf numFmtId="164" fontId="20" fillId="28" borderId="1" applyAlignment="1" pivotButton="0" quotePrefix="0" xfId="0">
      <alignment horizontal="center" vertical="center" wrapText="1"/>
    </xf>
    <xf numFmtId="3" fontId="21" fillId="28" borderId="1" applyAlignment="1" pivotButton="0" quotePrefix="0" xfId="0">
      <alignment horizontal="center" vertical="center" wrapText="1"/>
    </xf>
    <xf numFmtId="166" fontId="21" fillId="28" borderId="1" applyAlignment="1" pivotButton="0" quotePrefix="0" xfId="0">
      <alignment horizontal="center" vertical="center" wrapText="1"/>
    </xf>
    <xf numFmtId="4" fontId="21" fillId="28" borderId="1" applyAlignment="1" pivotButton="0" quotePrefix="0" xfId="0">
      <alignment horizontal="center" vertical="center" wrapText="1"/>
    </xf>
    <xf numFmtId="4" fontId="20" fillId="28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center" vertical="center" wrapText="1"/>
    </xf>
    <xf numFmtId="3" fontId="20" fillId="29" borderId="1" applyAlignment="1" pivotButton="0" quotePrefix="0" xfId="0">
      <alignment horizontal="center" vertical="center" wrapText="1"/>
    </xf>
    <xf numFmtId="164" fontId="20" fillId="29" borderId="1" applyAlignment="1" pivotButton="0" quotePrefix="0" xfId="0">
      <alignment horizontal="center" vertical="center" wrapText="1"/>
    </xf>
    <xf numFmtId="3" fontId="21" fillId="29" borderId="1" applyAlignment="1" pivotButton="0" quotePrefix="0" xfId="0">
      <alignment horizontal="center" vertical="center" wrapText="1"/>
    </xf>
    <xf numFmtId="166" fontId="21" fillId="29" borderId="1" applyAlignment="1" pivotButton="0" quotePrefix="0" xfId="0">
      <alignment horizontal="center" vertical="center" wrapText="1"/>
    </xf>
    <xf numFmtId="4" fontId="21" fillId="29" borderId="1" applyAlignment="1" pivotButton="0" quotePrefix="0" xfId="0">
      <alignment horizontal="center" vertical="center" wrapText="1"/>
    </xf>
    <xf numFmtId="4" fontId="20" fillId="29" borderId="1" applyAlignment="1" pivotButton="0" quotePrefix="0" xfId="0">
      <alignment horizontal="center" vertical="center" wrapText="1"/>
    </xf>
    <xf numFmtId="0" fontId="20" fillId="30" borderId="1" applyAlignment="1" pivotButton="0" quotePrefix="0" xfId="0">
      <alignment horizontal="center" vertical="center" wrapText="1"/>
    </xf>
    <xf numFmtId="3" fontId="20" fillId="30" borderId="1" applyAlignment="1" pivotButton="0" quotePrefix="0" xfId="0">
      <alignment horizontal="center" vertical="center" wrapText="1"/>
    </xf>
    <xf numFmtId="164" fontId="20" fillId="30" borderId="1" applyAlignment="1" pivotButton="0" quotePrefix="0" xfId="0">
      <alignment horizontal="center" vertical="center" wrapText="1"/>
    </xf>
    <xf numFmtId="3" fontId="21" fillId="30" borderId="1" applyAlignment="1" pivotButton="0" quotePrefix="0" xfId="0">
      <alignment horizontal="center" vertical="center" wrapText="1"/>
    </xf>
    <xf numFmtId="166" fontId="21" fillId="30" borderId="1" applyAlignment="1" pivotButton="0" quotePrefix="0" xfId="0">
      <alignment horizontal="center" vertical="center" wrapText="1"/>
    </xf>
    <xf numFmtId="4" fontId="21" fillId="30" borderId="1" applyAlignment="1" pivotButton="0" quotePrefix="0" xfId="0">
      <alignment horizontal="center" vertical="center" wrapText="1"/>
    </xf>
    <xf numFmtId="4" fontId="20" fillId="30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3" fontId="16" fillId="31" borderId="1" applyAlignment="1" pivotButton="0" quotePrefix="0" xfId="0">
      <alignment horizontal="center" vertical="center" wrapText="1"/>
    </xf>
    <xf numFmtId="164" fontId="16" fillId="31" borderId="1" applyAlignment="1" pivotButton="0" quotePrefix="0" xfId="0">
      <alignment horizontal="center" vertical="center" wrapText="1"/>
    </xf>
    <xf numFmtId="3" fontId="17" fillId="31" borderId="1" applyAlignment="1" pivotButton="0" quotePrefix="0" xfId="0">
      <alignment horizontal="center" vertical="center" wrapText="1"/>
    </xf>
    <xf numFmtId="166" fontId="17" fillId="31" borderId="1" applyAlignment="1" pivotButton="0" quotePrefix="0" xfId="0">
      <alignment horizontal="center" vertical="center" wrapText="1"/>
    </xf>
    <xf numFmtId="4" fontId="17" fillId="31" borderId="1" applyAlignment="1" pivotButton="0" quotePrefix="0" xfId="0">
      <alignment horizontal="center" vertical="center" wrapText="1"/>
    </xf>
    <xf numFmtId="4" fontId="16" fillId="31" borderId="1" applyAlignment="1" pivotButton="0" quotePrefix="0" xfId="0">
      <alignment horizontal="center" vertical="center" wrapText="1"/>
    </xf>
    <xf numFmtId="0" fontId="16" fillId="32" borderId="1" applyAlignment="1" pivotButton="0" quotePrefix="0" xfId="0">
      <alignment horizontal="center" vertical="center" wrapText="1"/>
    </xf>
    <xf numFmtId="3" fontId="16" fillId="32" borderId="1" applyAlignment="1" pivotButton="0" quotePrefix="0" xfId="0">
      <alignment horizontal="center" vertical="center" wrapText="1"/>
    </xf>
    <xf numFmtId="164" fontId="16" fillId="32" borderId="1" applyAlignment="1" pivotButton="0" quotePrefix="0" xfId="0">
      <alignment horizontal="center" vertical="center" wrapText="1"/>
    </xf>
    <xf numFmtId="3" fontId="17" fillId="32" borderId="1" applyAlignment="1" pivotButton="0" quotePrefix="0" xfId="0">
      <alignment horizontal="center" vertical="center" wrapText="1"/>
    </xf>
    <xf numFmtId="166" fontId="17" fillId="32" borderId="1" applyAlignment="1" pivotButton="0" quotePrefix="0" xfId="0">
      <alignment horizontal="center" vertical="center" wrapText="1"/>
    </xf>
    <xf numFmtId="4" fontId="17" fillId="32" borderId="1" applyAlignment="1" pivotButton="0" quotePrefix="0" xfId="0">
      <alignment horizontal="center" vertical="center" wrapText="1"/>
    </xf>
    <xf numFmtId="4" fontId="16" fillId="32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3" fontId="23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168" fontId="8" fillId="5" borderId="1" applyAlignment="1" pivotButton="0" quotePrefix="0" xfId="0">
      <alignment horizontal="center" vertical="center" wrapText="1"/>
    </xf>
    <xf numFmtId="165" fontId="11" fillId="9" borderId="1" applyAlignment="1" pivotButton="0" quotePrefix="0" xfId="0">
      <alignment horizontal="center" vertical="center" wrapText="1"/>
    </xf>
    <xf numFmtId="10" fontId="12" fillId="9" borderId="1" applyAlignment="1" pivotButton="0" quotePrefix="0" xfId="0">
      <alignment horizontal="center" vertical="center" wrapText="1"/>
    </xf>
    <xf numFmtId="169" fontId="12" fillId="9" borderId="1" applyAlignment="1" pivotButton="0" quotePrefix="0" xfId="0">
      <alignment horizontal="center" vertical="center" wrapText="1"/>
    </xf>
    <xf numFmtId="165" fontId="11" fillId="11" borderId="1" applyAlignment="1" pivotButton="0" quotePrefix="0" xfId="0">
      <alignment horizontal="center" vertical="center" wrapText="1"/>
    </xf>
    <xf numFmtId="10" fontId="12" fillId="11" borderId="1" applyAlignment="1" pivotButton="0" quotePrefix="0" xfId="0">
      <alignment horizontal="center" vertical="center" wrapText="1"/>
    </xf>
    <xf numFmtId="169" fontId="12" fillId="11" borderId="1" applyAlignment="1" pivotButton="0" quotePrefix="0" xfId="0">
      <alignment horizontal="center" vertical="center" wrapText="1"/>
    </xf>
    <xf numFmtId="165" fontId="11" fillId="12" borderId="1" applyAlignment="1" pivotButton="0" quotePrefix="0" xfId="0">
      <alignment horizontal="center" vertical="center" wrapText="1"/>
    </xf>
    <xf numFmtId="10" fontId="12" fillId="12" borderId="1" applyAlignment="1" pivotButton="0" quotePrefix="0" xfId="0">
      <alignment horizontal="center" vertical="center" wrapText="1"/>
    </xf>
    <xf numFmtId="169" fontId="12" fillId="12" borderId="1" applyAlignment="1" pivotButton="0" quotePrefix="0" xfId="0">
      <alignment horizontal="center" vertical="center" wrapText="1"/>
    </xf>
    <xf numFmtId="165" fontId="11" fillId="13" borderId="1" applyAlignment="1" pivotButton="0" quotePrefix="0" xfId="0">
      <alignment horizontal="center" vertical="center" wrapText="1"/>
    </xf>
    <xf numFmtId="10" fontId="12" fillId="13" borderId="1" applyAlignment="1" pivotButton="0" quotePrefix="0" xfId="0">
      <alignment horizontal="center" vertical="center" wrapText="1"/>
    </xf>
    <xf numFmtId="169" fontId="12" fillId="13" borderId="1" applyAlignment="1" pivotButton="0" quotePrefix="0" xfId="0">
      <alignment horizontal="center" vertical="center" wrapText="1"/>
    </xf>
    <xf numFmtId="165" fontId="11" fillId="14" borderId="1" applyAlignment="1" pivotButton="0" quotePrefix="0" xfId="0">
      <alignment horizontal="center" vertical="center" wrapText="1"/>
    </xf>
    <xf numFmtId="10" fontId="12" fillId="14" borderId="1" applyAlignment="1" pivotButton="0" quotePrefix="0" xfId="0">
      <alignment horizontal="center" vertical="center" wrapText="1"/>
    </xf>
    <xf numFmtId="169" fontId="12" fillId="14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165" fontId="11" fillId="33" borderId="1" applyAlignment="1" pivotButton="0" quotePrefix="0" xfId="0">
      <alignment horizontal="center" vertical="center" wrapText="1"/>
    </xf>
    <xf numFmtId="10" fontId="12" fillId="33" borderId="1" applyAlignment="1" pivotButton="0" quotePrefix="0" xfId="0">
      <alignment horizontal="center" vertical="center" wrapText="1"/>
    </xf>
    <xf numFmtId="166" fontId="12" fillId="33" borderId="1" applyAlignment="1" pivotButton="0" quotePrefix="0" xfId="0">
      <alignment horizontal="center" vertical="center" wrapText="1"/>
    </xf>
    <xf numFmtId="4" fontId="12" fillId="33" borderId="1" applyAlignment="1" pivotButton="0" quotePrefix="0" xfId="0">
      <alignment horizontal="center" vertical="center" wrapText="1"/>
    </xf>
    <xf numFmtId="169" fontId="12" fillId="33" borderId="1" applyAlignment="1" pivotButton="0" quotePrefix="0" xfId="0">
      <alignment horizontal="center" vertical="center" wrapText="1"/>
    </xf>
    <xf numFmtId="165" fontId="14" fillId="15" borderId="1" applyAlignment="1" pivotButton="0" quotePrefix="0" xfId="0">
      <alignment horizontal="center" vertical="center" wrapText="1"/>
    </xf>
    <xf numFmtId="10" fontId="15" fillId="15" borderId="1" applyAlignment="1" pivotButton="0" quotePrefix="0" xfId="0">
      <alignment horizontal="center" vertical="center" wrapText="1"/>
    </xf>
    <xf numFmtId="169" fontId="15" fillId="15" borderId="1" applyAlignment="1" pivotButton="0" quotePrefix="0" xfId="0">
      <alignment horizontal="center" vertical="center" wrapText="1"/>
    </xf>
    <xf numFmtId="165" fontId="14" fillId="17" borderId="1" applyAlignment="1" pivotButton="0" quotePrefix="0" xfId="0">
      <alignment horizontal="center" vertical="center" wrapText="1"/>
    </xf>
    <xf numFmtId="10" fontId="15" fillId="17" borderId="1" applyAlignment="1" pivotButton="0" quotePrefix="0" xfId="0">
      <alignment horizontal="center" vertical="center" wrapText="1"/>
    </xf>
    <xf numFmtId="169" fontId="15" fillId="17" borderId="1" applyAlignment="1" pivotButton="0" quotePrefix="0" xfId="0">
      <alignment horizontal="center" vertical="center" wrapText="1"/>
    </xf>
    <xf numFmtId="165" fontId="16" fillId="19" borderId="1" applyAlignment="1" pivotButton="0" quotePrefix="0" xfId="0">
      <alignment horizontal="center" vertical="center" wrapText="1"/>
    </xf>
    <xf numFmtId="10" fontId="17" fillId="19" borderId="1" applyAlignment="1" pivotButton="0" quotePrefix="0" xfId="0">
      <alignment horizontal="center" vertical="center" wrapText="1"/>
    </xf>
    <xf numFmtId="169" fontId="17" fillId="19" borderId="1" applyAlignment="1" pivotButton="0" quotePrefix="0" xfId="0">
      <alignment horizontal="center" vertical="center" wrapText="1"/>
    </xf>
    <xf numFmtId="0" fontId="16" fillId="34" borderId="1" applyAlignment="1" pivotButton="0" quotePrefix="0" xfId="0">
      <alignment horizontal="center" vertical="center" wrapText="1"/>
    </xf>
    <xf numFmtId="165" fontId="16" fillId="34" borderId="1" applyAlignment="1" pivotButton="0" quotePrefix="0" xfId="0">
      <alignment horizontal="center" vertical="center" wrapText="1"/>
    </xf>
    <xf numFmtId="10" fontId="17" fillId="34" borderId="1" applyAlignment="1" pivotButton="0" quotePrefix="0" xfId="0">
      <alignment horizontal="center" vertical="center" wrapText="1"/>
    </xf>
    <xf numFmtId="164" fontId="16" fillId="34" borderId="1" applyAlignment="1" pivotButton="0" quotePrefix="0" xfId="0">
      <alignment horizontal="center" vertical="center" wrapText="1"/>
    </xf>
    <xf numFmtId="166" fontId="17" fillId="34" borderId="1" applyAlignment="1" pivotButton="0" quotePrefix="0" xfId="0">
      <alignment horizontal="center" vertical="center" wrapText="1"/>
    </xf>
    <xf numFmtId="4" fontId="17" fillId="34" borderId="1" applyAlignment="1" pivotButton="0" quotePrefix="0" xfId="0">
      <alignment horizontal="center" vertical="center" wrapText="1"/>
    </xf>
    <xf numFmtId="169" fontId="17" fillId="34" borderId="1" applyAlignment="1" pivotButton="0" quotePrefix="0" xfId="0">
      <alignment horizontal="center" vertical="center" wrapText="1"/>
    </xf>
    <xf numFmtId="165" fontId="16" fillId="20" borderId="1" applyAlignment="1" pivotButton="0" quotePrefix="0" xfId="0">
      <alignment horizontal="center" vertical="center" wrapText="1"/>
    </xf>
    <xf numFmtId="10" fontId="17" fillId="20" borderId="1" applyAlignment="1" pivotButton="0" quotePrefix="0" xfId="0">
      <alignment horizontal="center" vertical="center" wrapText="1"/>
    </xf>
    <xf numFmtId="169" fontId="17" fillId="20" borderId="1" applyAlignment="1" pivotButton="0" quotePrefix="0" xfId="0">
      <alignment horizontal="center" vertical="center" wrapText="1"/>
    </xf>
    <xf numFmtId="0" fontId="16" fillId="35" borderId="1" applyAlignment="1" pivotButton="0" quotePrefix="0" xfId="0">
      <alignment horizontal="center" vertical="center" wrapText="1"/>
    </xf>
    <xf numFmtId="165" fontId="16" fillId="35" borderId="1" applyAlignment="1" pivotButton="0" quotePrefix="0" xfId="0">
      <alignment horizontal="center" vertical="center" wrapText="1"/>
    </xf>
    <xf numFmtId="10" fontId="17" fillId="35" borderId="1" applyAlignment="1" pivotButton="0" quotePrefix="0" xfId="0">
      <alignment horizontal="center" vertical="center" wrapText="1"/>
    </xf>
    <xf numFmtId="166" fontId="17" fillId="35" borderId="1" applyAlignment="1" pivotButton="0" quotePrefix="0" xfId="0">
      <alignment horizontal="center" vertical="center" wrapText="1"/>
    </xf>
    <xf numFmtId="4" fontId="17" fillId="35" borderId="1" applyAlignment="1" pivotButton="0" quotePrefix="0" xfId="0">
      <alignment horizontal="center" vertical="center" wrapText="1"/>
    </xf>
    <xf numFmtId="169" fontId="17" fillId="35" borderId="1" applyAlignment="1" pivotButton="0" quotePrefix="0" xfId="0">
      <alignment horizontal="center" vertical="center" wrapText="1"/>
    </xf>
    <xf numFmtId="165" fontId="18" fillId="21" borderId="1" applyAlignment="1" pivotButton="0" quotePrefix="0" xfId="0">
      <alignment horizontal="center" vertical="center" wrapText="1"/>
    </xf>
    <xf numFmtId="10" fontId="19" fillId="21" borderId="1" applyAlignment="1" pivotButton="0" quotePrefix="0" xfId="0">
      <alignment horizontal="center" vertical="center" wrapText="1"/>
    </xf>
    <xf numFmtId="169" fontId="19" fillId="21" borderId="1" applyAlignment="1" pivotButton="0" quotePrefix="0" xfId="0">
      <alignment horizontal="center" vertical="center" wrapText="1"/>
    </xf>
    <xf numFmtId="165" fontId="18" fillId="23" borderId="1" applyAlignment="1" pivotButton="0" quotePrefix="0" xfId="0">
      <alignment horizontal="center" vertical="center" wrapText="1"/>
    </xf>
    <xf numFmtId="10" fontId="19" fillId="23" borderId="1" applyAlignment="1" pivotButton="0" quotePrefix="0" xfId="0">
      <alignment horizontal="center" vertical="center" wrapText="1"/>
    </xf>
    <xf numFmtId="169" fontId="19" fillId="23" borderId="1" applyAlignment="1" pivotButton="0" quotePrefix="0" xfId="0">
      <alignment horizontal="center" vertical="center" wrapText="1"/>
    </xf>
    <xf numFmtId="165" fontId="16" fillId="25" borderId="1" applyAlignment="1" pivotButton="0" quotePrefix="0" xfId="0">
      <alignment horizontal="center" vertical="center" wrapText="1"/>
    </xf>
    <xf numFmtId="10" fontId="17" fillId="25" borderId="1" applyAlignment="1" pivotButton="0" quotePrefix="0" xfId="0">
      <alignment horizontal="center" vertical="center" wrapText="1"/>
    </xf>
    <xf numFmtId="169" fontId="17" fillId="25" borderId="1" applyAlignment="1" pivotButton="0" quotePrefix="0" xfId="0">
      <alignment horizontal="center" vertical="center" wrapText="1"/>
    </xf>
    <xf numFmtId="165" fontId="16" fillId="26" borderId="1" applyAlignment="1" pivotButton="0" quotePrefix="0" xfId="0">
      <alignment horizontal="center" vertical="center" wrapText="1"/>
    </xf>
    <xf numFmtId="10" fontId="17" fillId="26" borderId="1" applyAlignment="1" pivotButton="0" quotePrefix="0" xfId="0">
      <alignment horizontal="center" vertical="center" wrapText="1"/>
    </xf>
    <xf numFmtId="169" fontId="17" fillId="26" borderId="1" applyAlignment="1" pivotButton="0" quotePrefix="0" xfId="0">
      <alignment horizontal="center" vertical="center" wrapText="1"/>
    </xf>
    <xf numFmtId="0" fontId="16" fillId="36" borderId="1" applyAlignment="1" pivotButton="0" quotePrefix="0" xfId="0">
      <alignment horizontal="center" vertical="center" wrapText="1"/>
    </xf>
    <xf numFmtId="165" fontId="16" fillId="36" borderId="1" applyAlignment="1" pivotButton="0" quotePrefix="0" xfId="0">
      <alignment horizontal="center" vertical="center" wrapText="1"/>
    </xf>
    <xf numFmtId="10" fontId="17" fillId="36" borderId="1" applyAlignment="1" pivotButton="0" quotePrefix="0" xfId="0">
      <alignment horizontal="center" vertical="center" wrapText="1"/>
    </xf>
    <xf numFmtId="166" fontId="17" fillId="36" borderId="1" applyAlignment="1" pivotButton="0" quotePrefix="0" xfId="0">
      <alignment horizontal="center" vertical="center" wrapText="1"/>
    </xf>
    <xf numFmtId="4" fontId="17" fillId="36" borderId="1" applyAlignment="1" pivotButton="0" quotePrefix="0" xfId="0">
      <alignment horizontal="center" vertical="center" wrapText="1"/>
    </xf>
    <xf numFmtId="169" fontId="17" fillId="36" borderId="1" applyAlignment="1" pivotButton="0" quotePrefix="0" xfId="0">
      <alignment horizontal="center" vertical="center" wrapText="1"/>
    </xf>
    <xf numFmtId="0" fontId="16" fillId="37" borderId="1" applyAlignment="1" pivotButton="0" quotePrefix="0" xfId="0">
      <alignment horizontal="center" vertical="center" wrapText="1"/>
    </xf>
    <xf numFmtId="165" fontId="16" fillId="37" borderId="1" applyAlignment="1" pivotButton="0" quotePrefix="0" xfId="0">
      <alignment horizontal="center" vertical="center" wrapText="1"/>
    </xf>
    <xf numFmtId="10" fontId="17" fillId="37" borderId="1" applyAlignment="1" pivotButton="0" quotePrefix="0" xfId="0">
      <alignment horizontal="center" vertical="center" wrapText="1"/>
    </xf>
    <xf numFmtId="166" fontId="17" fillId="37" borderId="1" applyAlignment="1" pivotButton="0" quotePrefix="0" xfId="0">
      <alignment horizontal="center" vertical="center" wrapText="1"/>
    </xf>
    <xf numFmtId="4" fontId="17" fillId="37" borderId="1" applyAlignment="1" pivotButton="0" quotePrefix="0" xfId="0">
      <alignment horizontal="center" vertical="center" wrapText="1"/>
    </xf>
    <xf numFmtId="169" fontId="17" fillId="37" borderId="1" applyAlignment="1" pivotButton="0" quotePrefix="0" xfId="0">
      <alignment horizontal="center" vertical="center" wrapText="1"/>
    </xf>
    <xf numFmtId="165" fontId="20" fillId="27" borderId="1" applyAlignment="1" pivotButton="0" quotePrefix="0" xfId="0">
      <alignment horizontal="center" vertical="center" wrapText="1"/>
    </xf>
    <xf numFmtId="10" fontId="21" fillId="27" borderId="1" applyAlignment="1" pivotButton="0" quotePrefix="0" xfId="0">
      <alignment horizontal="center" vertical="center" wrapText="1"/>
    </xf>
    <xf numFmtId="169" fontId="21" fillId="27" borderId="1" applyAlignment="1" pivotButton="0" quotePrefix="0" xfId="0">
      <alignment horizontal="center" vertical="center" wrapText="1"/>
    </xf>
    <xf numFmtId="165" fontId="20" fillId="29" borderId="1" applyAlignment="1" pivotButton="0" quotePrefix="0" xfId="0">
      <alignment horizontal="center" vertical="center" wrapText="1"/>
    </xf>
    <xf numFmtId="10" fontId="21" fillId="29" borderId="1" applyAlignment="1" pivotButton="0" quotePrefix="0" xfId="0">
      <alignment horizontal="center" vertical="center" wrapText="1"/>
    </xf>
    <xf numFmtId="169" fontId="21" fillId="29" borderId="1" applyAlignment="1" pivotButton="0" quotePrefix="0" xfId="0">
      <alignment horizontal="center" vertical="center" wrapText="1"/>
    </xf>
    <xf numFmtId="165" fontId="16" fillId="31" borderId="1" applyAlignment="1" pivotButton="0" quotePrefix="0" xfId="0">
      <alignment horizontal="center" vertical="center" wrapText="1"/>
    </xf>
    <xf numFmtId="10" fontId="17" fillId="31" borderId="1" applyAlignment="1" pivotButton="0" quotePrefix="0" xfId="0">
      <alignment horizontal="center" vertical="center" wrapText="1"/>
    </xf>
    <xf numFmtId="169" fontId="17" fillId="31" borderId="1" applyAlignment="1" pivotButton="0" quotePrefix="0" xfId="0">
      <alignment horizontal="center" vertical="center" wrapText="1"/>
    </xf>
    <xf numFmtId="0" fontId="16" fillId="38" borderId="1" applyAlignment="1" pivotButton="0" quotePrefix="0" xfId="0">
      <alignment horizontal="center" vertical="center" wrapText="1"/>
    </xf>
    <xf numFmtId="165" fontId="16" fillId="38" borderId="1" applyAlignment="1" pivotButton="0" quotePrefix="0" xfId="0">
      <alignment horizontal="center" vertical="center" wrapText="1"/>
    </xf>
    <xf numFmtId="10" fontId="17" fillId="38" borderId="1" applyAlignment="1" pivotButton="0" quotePrefix="0" xfId="0">
      <alignment horizontal="center" vertical="center" wrapText="1"/>
    </xf>
    <xf numFmtId="164" fontId="16" fillId="38" borderId="1" applyAlignment="1" pivotButton="0" quotePrefix="0" xfId="0">
      <alignment horizontal="center" vertical="center" wrapText="1"/>
    </xf>
    <xf numFmtId="166" fontId="17" fillId="38" borderId="1" applyAlignment="1" pivotButton="0" quotePrefix="0" xfId="0">
      <alignment horizontal="center" vertical="center" wrapText="1"/>
    </xf>
    <xf numFmtId="4" fontId="17" fillId="38" borderId="1" applyAlignment="1" pivotButton="0" quotePrefix="0" xfId="0">
      <alignment horizontal="center" vertical="center" wrapText="1"/>
    </xf>
    <xf numFmtId="169" fontId="17" fillId="38" borderId="1" applyAlignment="1" pivotButton="0" quotePrefix="0" xfId="0">
      <alignment horizontal="center" vertical="center" wrapText="1"/>
    </xf>
    <xf numFmtId="165" fontId="16" fillId="32" borderId="1" applyAlignment="1" pivotButton="0" quotePrefix="0" xfId="0">
      <alignment horizontal="center" vertical="center" wrapText="1"/>
    </xf>
    <xf numFmtId="10" fontId="17" fillId="32" borderId="1" applyAlignment="1" pivotButton="0" quotePrefix="0" xfId="0">
      <alignment horizontal="center" vertical="center" wrapText="1"/>
    </xf>
    <xf numFmtId="169" fontId="17" fillId="32" borderId="1" applyAlignment="1" pivotButton="0" quotePrefix="0" xfId="0">
      <alignment horizontal="center" vertical="center" wrapText="1"/>
    </xf>
    <xf numFmtId="0" fontId="16" fillId="39" borderId="1" applyAlignment="1" pivotButton="0" quotePrefix="0" xfId="0">
      <alignment horizontal="center" vertical="center" wrapText="1"/>
    </xf>
    <xf numFmtId="165" fontId="16" fillId="39" borderId="1" applyAlignment="1" pivotButton="0" quotePrefix="0" xfId="0">
      <alignment horizontal="center" vertical="center" wrapText="1"/>
    </xf>
    <xf numFmtId="10" fontId="17" fillId="39" borderId="1" applyAlignment="1" pivotButton="0" quotePrefix="0" xfId="0">
      <alignment horizontal="center" vertical="center" wrapText="1"/>
    </xf>
    <xf numFmtId="166" fontId="17" fillId="39" borderId="1" applyAlignment="1" pivotButton="0" quotePrefix="0" xfId="0">
      <alignment horizontal="center" vertical="center" wrapText="1"/>
    </xf>
    <xf numFmtId="4" fontId="17" fillId="39" borderId="1" applyAlignment="1" pivotButton="0" quotePrefix="0" xfId="0">
      <alignment horizontal="center" vertical="center" wrapText="1"/>
    </xf>
    <xf numFmtId="169" fontId="17" fillId="39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10" fontId="15" fillId="16" borderId="1" applyAlignment="1" pivotButton="0" quotePrefix="0" xfId="0">
      <alignment horizontal="center" vertical="center" wrapText="1"/>
    </xf>
    <xf numFmtId="10" fontId="15" fillId="18" borderId="1" applyAlignment="1" pivotButton="0" quotePrefix="0" xfId="0">
      <alignment horizontal="center" vertical="center" wrapText="1"/>
    </xf>
    <xf numFmtId="10" fontId="19" fillId="22" borderId="1" applyAlignment="1" pivotButton="0" quotePrefix="0" xfId="0">
      <alignment horizontal="center" vertical="center" wrapText="1"/>
    </xf>
    <xf numFmtId="10" fontId="19" fillId="24" borderId="1" applyAlignment="1" pivotButton="0" quotePrefix="0" xfId="0">
      <alignment horizontal="center" vertical="center" wrapText="1"/>
    </xf>
    <xf numFmtId="10" fontId="21" fillId="28" borderId="1" applyAlignment="1" pivotButton="0" quotePrefix="0" xfId="0">
      <alignment horizontal="center" vertical="center" wrapText="1"/>
    </xf>
    <xf numFmtId="10" fontId="21" fillId="30" borderId="1" applyAlignment="1" pivotButton="0" quotePrefix="0" xfId="0">
      <alignment horizontal="center" vertical="center" wrapText="1"/>
    </xf>
    <xf numFmtId="4" fontId="2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母TOKEN价格阶段 × 各节点总资产(U)</a:t>
            </a:r>
          </a:p>
        </rich>
      </tx>
    </title>
    <plotArea>
      <lineChart>
        <grouping val="standard"/>
        <ser>
          <idx val="0"/>
          <order val="0"/>
          <tx>
            <v>='00参数面板'!$A$33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'01母币走势分析'!$B$46:$G$46</f>
            </numRef>
          </cat>
          <val>
            <numRef>
              <f>'01母币走势分析'!$B$47:$G$47</f>
            </numRef>
          </val>
        </ser>
        <ser>
          <idx val="1"/>
          <order val="1"/>
          <tx>
            <v>='00参数面板'!$A$34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'01母币走势分析'!$B$46:$G$46</f>
            </numRef>
          </cat>
          <val>
            <numRef>
              <f>'01母币走势分析'!$B$48:$G$48</f>
            </numRef>
          </val>
        </ser>
        <ser>
          <idx val="2"/>
          <order val="2"/>
          <tx>
            <v>='00参数面板'!$A$35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'01母币走势分析'!$B$46:$G$46</f>
            </numRef>
          </cat>
          <val>
            <numRef>
              <f>'01母币走势分析'!$B$49:$G$49</f>
            </numRef>
          </val>
        </ser>
        <ser>
          <idx val="3"/>
          <order val="3"/>
          <tx>
            <v>='00参数面板'!$A$36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'01母币走势分析'!$B$46:$G$46</f>
            </numRef>
          </cat>
          <val>
            <numRef>
              <f>'01母币走势分析'!$B$50:$G$50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价格阶段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总资产 (U)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子TOKEN(符火)流通量通缩曲线（0→24月）</a:t>
            </a:r>
          </a:p>
        </rich>
      </tx>
    </title>
    <plotArea>
      <lineChart>
        <grouping val="standard"/>
        <ser>
          <idx val="0"/>
          <order val="0"/>
          <tx>
            <v>子TOKEN流通量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'02子币走势分析'!$A$6:$A$18</f>
            </numRef>
          </cat>
          <val>
            <numRef>
              <f>'02子币走势分析'!$C$6:$C$18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流通量(枚)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各节点总资产 × 母TOKEN价格阶段</a:t>
            </a:r>
          </a:p>
        </rich>
      </tx>
    </title>
    <plotArea>
      <lineChart>
        <grouping val="standard"/>
        <ser>
          <idx val="0"/>
          <order val="0"/>
          <tx>
            <v>='00参数面板'!$A$33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'03节点收益全景矩阵'!$B$36:$G$36</f>
            </numRef>
          </cat>
          <val>
            <numRef>
              <f>'03节点收益全景矩阵'!$B$37:$G$37</f>
            </numRef>
          </val>
        </ser>
        <ser>
          <idx val="1"/>
          <order val="1"/>
          <tx>
            <v>='00参数面板'!$A$34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'03节点收益全景矩阵'!$B$36:$G$36</f>
            </numRef>
          </cat>
          <val>
            <numRef>
              <f>'03节点收益全景矩阵'!$B$38:$G$38</f>
            </numRef>
          </val>
        </ser>
        <ser>
          <idx val="2"/>
          <order val="2"/>
          <tx>
            <v>='00参数面板'!$A$35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'03节点收益全景矩阵'!$B$36:$G$36</f>
            </numRef>
          </cat>
          <val>
            <numRef>
              <f>'03节点收益全景矩阵'!$B$39:$G$39</f>
            </numRef>
          </val>
        </ser>
        <ser>
          <idx val="3"/>
          <order val="3"/>
          <tx>
            <v>='00参数面板'!$A$36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'03节点收益全景矩阵'!$B$36:$G$36</f>
            </numRef>
          </cat>
          <val>
            <numRef>
              <f>'03节点收益全景矩阵'!$B$40:$G$40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总资产(U)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各节点月综合收益对比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v>='00参数面板'!$A$33</v>
          </tx>
          <spPr>
            <a:ln xmlns:a="http://schemas.openxmlformats.org/drawingml/2006/main">
              <a:prstDash val="solid"/>
            </a:ln>
          </spPr>
          <cat>
            <numRef>
              <f>'03节点收益全景矩阵'!$B$42:$G$42</f>
            </numRef>
          </cat>
          <val>
            <numRef>
              <f>'03节点收益全景矩阵'!$B$43:$G$43</f>
            </numRef>
          </val>
        </ser>
        <ser>
          <idx val="1"/>
          <order val="1"/>
          <tx>
            <v>='00参数面板'!$A$34</v>
          </tx>
          <spPr>
            <a:ln xmlns:a="http://schemas.openxmlformats.org/drawingml/2006/main">
              <a:prstDash val="solid"/>
            </a:ln>
          </spPr>
          <cat>
            <numRef>
              <f>'03节点收益全景矩阵'!$B$42:$G$42</f>
            </numRef>
          </cat>
          <val>
            <numRef>
              <f>'03节点收益全景矩阵'!$B$44:$G$44</f>
            </numRef>
          </val>
        </ser>
        <ser>
          <idx val="2"/>
          <order val="2"/>
          <tx>
            <v>='00参数面板'!$A$35</v>
          </tx>
          <spPr>
            <a:ln xmlns:a="http://schemas.openxmlformats.org/drawingml/2006/main">
              <a:prstDash val="solid"/>
            </a:ln>
          </spPr>
          <cat>
            <numRef>
              <f>'03节点收益全景矩阵'!$B$42:$G$42</f>
            </numRef>
          </cat>
          <val>
            <numRef>
              <f>'03节点收益全景矩阵'!$B$45:$G$45</f>
            </numRef>
          </val>
        </ser>
        <ser>
          <idx val="3"/>
          <order val="3"/>
          <tx>
            <v>='00参数面板'!$A$36</v>
          </tx>
          <spPr>
            <a:ln xmlns:a="http://schemas.openxmlformats.org/drawingml/2006/main">
              <a:prstDash val="solid"/>
            </a:ln>
          </spPr>
          <cat>
            <numRef>
              <f>'03节点收益全景矩阵'!$B$42:$G$42</f>
            </numRef>
          </cat>
          <val>
            <numRef>
              <f>'03节点收益全景矩阵'!$B$46:$G$46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月综合收益(U)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122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48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14" customWidth="1" min="5" max="5"/>
    <col width="14" customWidth="1" min="6" max="6"/>
    <col width="11" customWidth="1" min="7" max="7"/>
    <col width="13" customWidth="1" min="8" max="8"/>
    <col width="13" customWidth="1" min="9" max="9"/>
  </cols>
  <sheetData>
    <row r="1" ht="44" customHeight="1">
      <c r="A1" s="1" t="inlineStr">
        <is>
          <t>RUNE PROTOCOL · 参数面板   ⚡ 只需修改黄色格，全部分析表自动联动更新</t>
        </is>
      </c>
      <c r="B1" s="296" t="n"/>
      <c r="C1" s="296" t="n"/>
      <c r="D1" s="296" t="n"/>
      <c r="E1" s="296" t="n"/>
      <c r="F1" s="297" t="n"/>
    </row>
    <row r="2" ht="26" customHeight="1">
      <c r="A2" s="2" t="inlineStr">
        <is>
          <t>🔒 固定常量</t>
        </is>
      </c>
      <c r="B2" s="297" t="n"/>
      <c r="C2" s="3" t="inlineStr">
        <is>
          <t>📝 可变输入(黄色)</t>
        </is>
      </c>
      <c r="D2" s="297" t="n"/>
      <c r="E2" s="4" t="inlineStr">
        <is>
          <t>📊 计算结果</t>
        </is>
      </c>
      <c r="F2" s="5" t="inlineStr">
        <is>
          <t>← 说明/公式</t>
        </is>
      </c>
    </row>
    <row r="3" ht="10" customHeight="1"/>
    <row r="4" ht="28" customHeight="1">
      <c r="A4" s="6" t="inlineStr">
        <is>
          <t>A · 项目募资架构（节点总融资800万U）</t>
        </is>
      </c>
      <c r="B4" s="296" t="n"/>
      <c r="C4" s="296" t="n"/>
      <c r="D4" s="296" t="n"/>
      <c r="E4" s="296" t="n"/>
      <c r="F4" s="297" t="n"/>
    </row>
    <row r="5" ht="24" customHeight="1">
      <c r="A5" s="7" t="inlineStr">
        <is>
          <t>参数名称</t>
        </is>
      </c>
      <c r="B5" s="7" t="inlineStr">
        <is>
          <t>类型</t>
        </is>
      </c>
      <c r="C5" s="7" t="inlineStr">
        <is>
          <t>数值</t>
        </is>
      </c>
      <c r="D5" s="7" t="inlineStr">
        <is>
          <t>单位</t>
        </is>
      </c>
      <c r="E5" s="7" t="inlineStr">
        <is>
          <t>说明</t>
        </is>
      </c>
      <c r="F5" s="7" t="inlineStr">
        <is>
          <t>占总募集%</t>
        </is>
      </c>
    </row>
    <row r="6" ht="20" customHeight="1">
      <c r="A6" s="2" t="inlineStr">
        <is>
          <t>总募集资金</t>
        </is>
      </c>
      <c r="B6" s="2" t="inlineStr">
        <is>
          <t>🔒固定</t>
        </is>
      </c>
      <c r="C6" s="8" t="n">
        <v>8000000</v>
      </c>
      <c r="D6" s="2" t="inlineStr">
        <is>
          <t>U</t>
        </is>
      </c>
      <c r="E6" s="2" t="inlineStr">
        <is>
          <t>节点总融资</t>
        </is>
      </c>
      <c r="F6" s="9" t="inlineStr">
        <is>
          <t>—</t>
        </is>
      </c>
    </row>
    <row r="7" ht="20" customHeight="1">
      <c r="A7" s="2" t="inlineStr">
        <is>
          <t>母TOKEN底池TLP</t>
        </is>
      </c>
      <c r="B7" s="2" t="inlineStr">
        <is>
          <t>🔒固定</t>
        </is>
      </c>
      <c r="C7" s="8" t="n">
        <v>2800000</v>
      </c>
      <c r="D7" s="2" t="inlineStr">
        <is>
          <t>U</t>
        </is>
      </c>
      <c r="E7" s="2" t="inlineStr">
        <is>
          <t>开盘满足第1批</t>
        </is>
      </c>
      <c r="F7" s="9">
        <f>'00参数面板'!$C$7/'00参数面板'!$C$6</f>
        <v/>
      </c>
    </row>
    <row r="8" ht="20" customHeight="1">
      <c r="A8" s="2" t="inlineStr">
        <is>
          <t>子TOKEN LP底池</t>
        </is>
      </c>
      <c r="B8" s="2" t="inlineStr">
        <is>
          <t>🔒固定</t>
        </is>
      </c>
      <c r="C8" s="8" t="n">
        <v>500000</v>
      </c>
      <c r="D8" s="2" t="inlineStr">
        <is>
          <t>U</t>
        </is>
      </c>
      <c r="E8" s="2" t="inlineStr">
        <is>
          <t>子币流动性</t>
        </is>
      </c>
      <c r="F8" s="9">
        <f>'00参数面板'!$C$8/'00参数面板'!$C$6</f>
        <v/>
      </c>
    </row>
    <row r="9" ht="20" customHeight="1">
      <c r="A9" s="2" t="inlineStr">
        <is>
          <t>运营资金</t>
        </is>
      </c>
      <c r="B9" s="2" t="inlineStr">
        <is>
          <t>🔒固定</t>
        </is>
      </c>
      <c r="C9" s="8" t="n">
        <v>2100000</v>
      </c>
      <c r="D9" s="2" t="inlineStr">
        <is>
          <t>U</t>
        </is>
      </c>
      <c r="E9" s="2" t="inlineStr">
        <is>
          <t>日常运营</t>
        </is>
      </c>
      <c r="F9" s="9">
        <f>'00参数面板'!$C$9/'00参数面板'!$C$6</f>
        <v/>
      </c>
    </row>
    <row r="10" ht="20" customHeight="1">
      <c r="A10" s="2" t="inlineStr">
        <is>
          <t>国库资金</t>
        </is>
      </c>
      <c r="B10" s="2" t="inlineStr">
        <is>
          <t>🔒固定</t>
        </is>
      </c>
      <c r="C10" s="8" t="n">
        <v>2600000</v>
      </c>
      <c r="D10" s="2" t="inlineStr">
        <is>
          <t>U</t>
        </is>
      </c>
      <c r="E10" s="2" t="inlineStr">
        <is>
          <t>战略储备</t>
        </is>
      </c>
      <c r="F10" s="9">
        <f>'00参数面板'!$C$10/'00参数面板'!$C$6</f>
        <v/>
      </c>
    </row>
    <row r="11" ht="10" customHeight="1"/>
    <row r="12" ht="28" customHeight="1">
      <c r="A12" s="6" t="inlineStr">
        <is>
          <t>B · 母TOKEN（符）— 修改D20/D21可调整目标价</t>
        </is>
      </c>
      <c r="B12" s="296" t="n"/>
      <c r="C12" s="296" t="n"/>
      <c r="D12" s="296" t="n"/>
      <c r="E12" s="296" t="n"/>
      <c r="F12" s="297" t="n"/>
    </row>
    <row r="13" ht="20" customHeight="1">
      <c r="A13" s="2" t="inlineStr">
        <is>
          <t>开盘价</t>
        </is>
      </c>
      <c r="B13" s="2" t="inlineStr">
        <is>
          <t>🔒固定</t>
        </is>
      </c>
      <c r="C13" s="10" t="n">
        <v>0.028</v>
      </c>
      <c r="D13" s="2" t="inlineStr">
        <is>
          <t>$/枚</t>
        </is>
      </c>
      <c r="E13" s="2" t="inlineStr">
        <is>
          <t>DO上线初始定价</t>
        </is>
      </c>
      <c r="F13" s="11" t="inlineStr">
        <is>
          <t>—</t>
        </is>
      </c>
    </row>
    <row r="14" ht="20" customHeight="1">
      <c r="A14" s="2" t="inlineStr">
        <is>
          <t>每日销毁率</t>
        </is>
      </c>
      <c r="B14" s="2" t="inlineStr">
        <is>
          <t>🔒固定</t>
        </is>
      </c>
      <c r="C14" s="10" t="n">
        <v>0.002</v>
      </c>
      <c r="D14" s="2" t="inlineStr">
        <is>
          <t>%/天</t>
        </is>
      </c>
      <c r="E14" s="2" t="inlineStr">
        <is>
          <t>写死合约0.2%/天</t>
        </is>
      </c>
      <c r="F14" s="11" t="inlineStr">
        <is>
          <t>—</t>
        </is>
      </c>
    </row>
    <row r="15" ht="20" customHeight="1">
      <c r="A15" s="2" t="inlineStr">
        <is>
          <t>发行总量</t>
        </is>
      </c>
      <c r="B15" s="2" t="inlineStr">
        <is>
          <t>🔒固定</t>
        </is>
      </c>
      <c r="C15" s="8" t="n">
        <v>210000000</v>
      </c>
      <c r="D15" s="2" t="inlineStr">
        <is>
          <t>枚</t>
        </is>
      </c>
      <c r="E15" s="2" t="inlineStr">
        <is>
          <t>合约写死永不增发</t>
        </is>
      </c>
      <c r="F15" s="11" t="inlineStr">
        <is>
          <t>—</t>
        </is>
      </c>
    </row>
    <row r="16" ht="20" customHeight="1">
      <c r="A16" s="2" t="inlineStr">
        <is>
          <t>初始销毁量</t>
        </is>
      </c>
      <c r="B16" s="2" t="inlineStr">
        <is>
          <t>🔒固定</t>
        </is>
      </c>
      <c r="C16" s="8" t="n">
        <v>70000000</v>
      </c>
      <c r="D16" s="2" t="inlineStr">
        <is>
          <t>枚</t>
        </is>
      </c>
      <c r="E16" s="2" t="inlineStr">
        <is>
          <t>锁入黑洞</t>
        </is>
      </c>
      <c r="F16" s="11">
        <f>'00参数面板'!$C$15/3</f>
        <v/>
      </c>
    </row>
    <row r="17" ht="20" customHeight="1">
      <c r="A17" s="2" t="inlineStr">
        <is>
          <t>TLP流动池</t>
        </is>
      </c>
      <c r="B17" s="2" t="inlineStr">
        <is>
          <t>🔒固定</t>
        </is>
      </c>
      <c r="C17" s="8" t="n">
        <v>100000000</v>
      </c>
      <c r="D17" s="2" t="inlineStr">
        <is>
          <t>枚</t>
        </is>
      </c>
      <c r="E17" s="2" t="inlineStr">
        <is>
          <t>永不增减</t>
        </is>
      </c>
      <c r="F17" s="11">
        <f>'00参数面板'!$C$15*100/210</f>
        <v/>
      </c>
    </row>
    <row r="18" ht="20" customHeight="1">
      <c r="A18" s="2" t="inlineStr">
        <is>
          <t>节点空投总量</t>
        </is>
      </c>
      <c r="B18" s="2" t="inlineStr">
        <is>
          <t>🔒固定</t>
        </is>
      </c>
      <c r="C18" s="8" t="n">
        <v>10000000</v>
      </c>
      <c r="D18" s="2" t="inlineStr">
        <is>
          <t>枚</t>
        </is>
      </c>
      <c r="E18" s="2" t="inlineStr">
        <is>
          <t>四批底池联动</t>
        </is>
      </c>
      <c r="F18" s="11">
        <f>'00参数面板'!$C$15*10/210</f>
        <v/>
      </c>
    </row>
    <row r="19" ht="20" customHeight="1">
      <c r="A19" s="2" t="inlineStr">
        <is>
          <t>24月通缩周期</t>
        </is>
      </c>
      <c r="B19" s="2" t="inlineStr">
        <is>
          <t>🔒固定</t>
        </is>
      </c>
      <c r="C19" s="8" t="inlineStr">
        <is>
          <t>12-18月</t>
        </is>
      </c>
      <c r="D19" s="2" t="inlineStr">
        <is>
          <t>月</t>
        </is>
      </c>
      <c r="E19" s="2" t="inlineStr">
        <is>
          <t>完整通缩预计用时</t>
        </is>
      </c>
      <c r="F19" s="11" t="inlineStr">
        <is>
          <t>—</t>
        </is>
      </c>
    </row>
    <row r="20" ht="20" customHeight="1">
      <c r="A20" s="12" t="inlineStr">
        <is>
          <t>24月目标价(低)</t>
        </is>
      </c>
      <c r="B20" s="12" t="inlineStr">
        <is>
          <t>📝可变</t>
        </is>
      </c>
      <c r="C20" s="13" t="n">
        <v>2.24</v>
      </c>
      <c r="D20" s="12" t="inlineStr">
        <is>
          <t>$/枚</t>
        </is>
      </c>
      <c r="E20" s="12" t="inlineStr">
        <is>
          <t>80×目标 ← 可修改</t>
        </is>
      </c>
      <c r="F20" s="11">
        <f>'00参数面板'!$C$13*80</f>
        <v/>
      </c>
    </row>
    <row r="21" ht="20" customHeight="1">
      <c r="A21" s="12" t="inlineStr">
        <is>
          <t>24月目标价(高)</t>
        </is>
      </c>
      <c r="B21" s="12" t="inlineStr">
        <is>
          <t>📝可变</t>
        </is>
      </c>
      <c r="C21" s="13" t="n">
        <v>3.36</v>
      </c>
      <c r="D21" s="12" t="inlineStr">
        <is>
          <t>$/枚</t>
        </is>
      </c>
      <c r="E21" s="12" t="inlineStr">
        <is>
          <t>120×目标 ← 可修改</t>
        </is>
      </c>
      <c r="F21" s="11">
        <f>'00参数面板'!$C$13*120</f>
        <v/>
      </c>
    </row>
    <row r="23" ht="10" customHeight="1"/>
    <row r="24" ht="28" customHeight="1">
      <c r="A24" s="6" t="inlineStr">
        <is>
          <t>C · 子TOKEN（符火）— 修改D28/D29可调整目标价</t>
        </is>
      </c>
      <c r="B24" s="296" t="n"/>
      <c r="C24" s="296" t="n"/>
      <c r="D24" s="296" t="n"/>
      <c r="E24" s="296" t="n"/>
      <c r="F24" s="297" t="n"/>
    </row>
    <row r="25" ht="20" customHeight="1">
      <c r="A25" s="2" t="inlineStr">
        <is>
          <t>初始价格</t>
        </is>
      </c>
      <c r="B25" s="2" t="inlineStr">
        <is>
          <t>🔒固定</t>
        </is>
      </c>
      <c r="C25" s="10" t="n">
        <v>0.038</v>
      </c>
      <c r="D25" s="2" t="inlineStr">
        <is>
          <t>$/枚</t>
        </is>
      </c>
      <c r="E25" s="2" t="inlineStr">
        <is>
          <t>稀缺溢价定价</t>
        </is>
      </c>
      <c r="F25" s="11" t="inlineStr">
        <is>
          <t>—</t>
        </is>
      </c>
    </row>
    <row r="26" ht="20" customHeight="1">
      <c r="A26" s="2" t="inlineStr">
        <is>
          <t>每日燃烧率</t>
        </is>
      </c>
      <c r="B26" s="2" t="inlineStr">
        <is>
          <t>🔒固定</t>
        </is>
      </c>
      <c r="C26" s="10" t="n">
        <v>0.002</v>
      </c>
      <c r="D26" s="2" t="inlineStr">
        <is>
          <t>%/天</t>
        </is>
      </c>
      <c r="E26" s="2" t="inlineStr">
        <is>
          <t>写死合约0.2%/天</t>
        </is>
      </c>
      <c r="F26" s="11" t="inlineStr">
        <is>
          <t>—</t>
        </is>
      </c>
    </row>
    <row r="27" ht="20" customHeight="1">
      <c r="A27" s="2" t="inlineStr">
        <is>
          <t>发行总量</t>
        </is>
      </c>
      <c r="B27" s="2" t="inlineStr">
        <is>
          <t>🔒固定</t>
        </is>
      </c>
      <c r="C27" s="8" t="n">
        <v>13100000</v>
      </c>
      <c r="D27" s="2" t="inlineStr">
        <is>
          <t>枚</t>
        </is>
      </c>
      <c r="E27" s="2" t="inlineStr">
        <is>
          <t>母币的6.24%稀缺16×</t>
        </is>
      </c>
      <c r="F27" s="11" t="inlineStr">
        <is>
          <t>—</t>
        </is>
      </c>
    </row>
    <row r="28" ht="20" customHeight="1">
      <c r="A28" s="12" t="inlineStr">
        <is>
          <t>24月目标价(低)</t>
        </is>
      </c>
      <c r="B28" s="12" t="inlineStr">
        <is>
          <t>📝可变</t>
        </is>
      </c>
      <c r="C28" s="13" t="n">
        <v>3.04</v>
      </c>
      <c r="D28" s="12" t="inlineStr">
        <is>
          <t>$/枚</t>
        </is>
      </c>
      <c r="E28" s="12" t="inlineStr">
        <is>
          <t>80×目标 ← 可修改</t>
        </is>
      </c>
      <c r="F28" s="11">
        <f>'00参数面板'!$C$25*80</f>
        <v/>
      </c>
    </row>
    <row r="29" ht="20" customHeight="1">
      <c r="A29" s="12" t="inlineStr">
        <is>
          <t>24月目标价(高)</t>
        </is>
      </c>
      <c r="B29" s="12" t="inlineStr">
        <is>
          <t>📝可变</t>
        </is>
      </c>
      <c r="C29" s="13" t="n">
        <v>4.56</v>
      </c>
      <c r="D29" s="12" t="inlineStr">
        <is>
          <t>$/枚</t>
        </is>
      </c>
      <c r="E29" s="12" t="inlineStr">
        <is>
          <t>120×目标 ← 可修改</t>
        </is>
      </c>
      <c r="F29" s="11">
        <f>'00参数面板'!$C$25*120</f>
        <v/>
      </c>
    </row>
    <row r="30" ht="10" customHeight="1"/>
    <row r="31" ht="28" customHeight="1">
      <c r="A31" s="6" t="inlineStr">
        <is>
          <t>D · 节点产品参数表（4级）— 此表数据被所有分析Sheet引用</t>
        </is>
      </c>
      <c r="B31" s="296" t="n"/>
      <c r="C31" s="296" t="n"/>
      <c r="D31" s="296" t="n"/>
      <c r="E31" s="296" t="n"/>
      <c r="F31" s="296" t="n"/>
      <c r="G31" s="296" t="n"/>
      <c r="H31" s="296" t="n"/>
      <c r="I31" s="297" t="n"/>
    </row>
    <row r="32" ht="24" customHeight="1">
      <c r="A32" s="7" t="inlineStr">
        <is>
          <t>节点等级</t>
        </is>
      </c>
      <c r="B32" s="7" t="inlineStr">
        <is>
          <t>英文</t>
        </is>
      </c>
      <c r="C32" s="7" t="inlineStr">
        <is>
          <t>投资额(U)</t>
        </is>
      </c>
      <c r="D32" s="7" t="inlineStr">
        <is>
          <t>席位数</t>
        </is>
      </c>
      <c r="E32" s="7" t="inlineStr">
        <is>
          <t>母TOKEN私募价($)</t>
        </is>
      </c>
      <c r="F32" s="7" t="inlineStr">
        <is>
          <t>日USDT收益(U)</t>
        </is>
      </c>
      <c r="G32" s="7" t="inlineStr">
        <is>
          <t>权重系数</t>
        </is>
      </c>
      <c r="H32" s="7" t="inlineStr">
        <is>
          <t>空投总量(枚)</t>
        </is>
      </c>
      <c r="I32" s="7" t="inlineStr">
        <is>
          <t>每席空投(枚)</t>
        </is>
      </c>
    </row>
    <row r="33" ht="22" customHeight="1">
      <c r="A33" s="2" t="inlineStr">
        <is>
          <t>符胚</t>
        </is>
      </c>
      <c r="B33" s="2" t="inlineStr">
        <is>
          <t>PIONEER</t>
        </is>
      </c>
      <c r="C33" s="8" t="n">
        <v>2500</v>
      </c>
      <c r="D33" s="8" t="n">
        <v>800</v>
      </c>
      <c r="E33" s="10" t="n">
        <v>0.026</v>
      </c>
      <c r="F33" s="14" t="n">
        <v>11.7</v>
      </c>
      <c r="G33" s="15" t="n">
        <v>1</v>
      </c>
      <c r="H33" s="8" t="n">
        <v>2000000</v>
      </c>
      <c r="I33" s="16">
        <f>'00参数面板'!$H$33/'00参数面板'!$D$33</f>
        <v/>
      </c>
    </row>
    <row r="34" ht="22" customHeight="1">
      <c r="A34" s="2" t="inlineStr">
        <is>
          <t>符印</t>
        </is>
      </c>
      <c r="B34" s="2" t="inlineStr">
        <is>
          <t>BUILDER</t>
        </is>
      </c>
      <c r="C34" s="8" t="n">
        <v>5000</v>
      </c>
      <c r="D34" s="8" t="n">
        <v>400</v>
      </c>
      <c r="E34" s="10" t="n">
        <v>0.024</v>
      </c>
      <c r="F34" s="14" t="n">
        <v>23.4</v>
      </c>
      <c r="G34" s="15" t="n">
        <v>1.2</v>
      </c>
      <c r="H34" s="8" t="n">
        <v>2300000</v>
      </c>
      <c r="I34" s="16">
        <f>'00参数面板'!$H$34/'00参数面板'!$D$34</f>
        <v/>
      </c>
    </row>
    <row r="35" ht="22" customHeight="1">
      <c r="A35" s="2" t="inlineStr">
        <is>
          <t>符主</t>
        </is>
      </c>
      <c r="B35" s="2" t="inlineStr">
        <is>
          <t>GUARDIAN</t>
        </is>
      </c>
      <c r="C35" s="8" t="n">
        <v>10000</v>
      </c>
      <c r="D35" s="8" t="n">
        <v>200</v>
      </c>
      <c r="E35" s="10" t="n">
        <v>0.02</v>
      </c>
      <c r="F35" s="14" t="n">
        <v>46.8</v>
      </c>
      <c r="G35" s="15" t="n">
        <v>1.6</v>
      </c>
      <c r="H35" s="8" t="n">
        <v>2700000</v>
      </c>
      <c r="I35" s="16">
        <f>'00参数面板'!$H$35/'00参数面板'!$D$35</f>
        <v/>
      </c>
    </row>
    <row r="36" ht="22" customHeight="1">
      <c r="A36" s="2" t="inlineStr">
        <is>
          <t>符魂</t>
        </is>
      </c>
      <c r="B36" s="2" t="inlineStr">
        <is>
          <t>STRATEGIC</t>
        </is>
      </c>
      <c r="C36" s="8" t="n">
        <v>50000</v>
      </c>
      <c r="D36" s="8" t="n">
        <v>40</v>
      </c>
      <c r="E36" s="10" t="n">
        <v>0.016</v>
      </c>
      <c r="F36" s="14" t="n">
        <v>234</v>
      </c>
      <c r="G36" s="15" t="n">
        <v>2</v>
      </c>
      <c r="H36" s="8" t="n">
        <v>3000000</v>
      </c>
      <c r="I36" s="16">
        <f>'00参数面板'!$H$36/'00参数面板'!$D$36</f>
        <v/>
      </c>
    </row>
    <row r="38" ht="10" customHeight="1"/>
    <row r="39" ht="28" customHeight="1">
      <c r="A39" s="6" t="inlineStr">
        <is>
          <t>E · 价格阶段定义表 — ⑤⑥行为可变目标价，引用B/C模块预测值</t>
        </is>
      </c>
      <c r="B39" s="296" t="n"/>
      <c r="C39" s="296" t="n"/>
      <c r="D39" s="296" t="n"/>
      <c r="E39" s="296" t="n"/>
      <c r="F39" s="297" t="n"/>
    </row>
    <row r="40" ht="24" customHeight="1">
      <c r="A40" s="7" t="inlineStr">
        <is>
          <t>阶段</t>
        </is>
      </c>
      <c r="B40" s="7" t="inlineStr">
        <is>
          <t>触发说明</t>
        </is>
      </c>
      <c r="C40" s="7" t="inlineStr">
        <is>
          <t>母TOKEN价($)</t>
        </is>
      </c>
      <c r="D40" s="7" t="inlineStr">
        <is>
          <t>子TOKEN价($)</t>
        </is>
      </c>
      <c r="E40" s="7" t="inlineStr">
        <is>
          <t>母币涨幅×</t>
        </is>
      </c>
      <c r="F40" s="7" t="inlineStr">
        <is>
          <t>说明</t>
        </is>
      </c>
    </row>
    <row r="41" ht="22" customHeight="1">
      <c r="A41" s="2" t="inlineStr">
        <is>
          <t>① 开盘</t>
        </is>
      </c>
      <c r="B41" s="2" t="inlineStr">
        <is>
          <t>DO上线当日</t>
        </is>
      </c>
      <c r="C41" s="10" t="n">
        <v>0.028</v>
      </c>
      <c r="D41" s="10" t="n">
        <v>0.038</v>
      </c>
      <c r="E41" s="17">
        <f>'00参数面板'!$C$41/'00参数面板'!$C$41</f>
        <v/>
      </c>
      <c r="F41" s="11" t="inlineStr">
        <is>
          <t>DO上线当日</t>
        </is>
      </c>
    </row>
    <row r="42" ht="22" customHeight="1">
      <c r="A42" s="2" t="inlineStr">
        <is>
          <t>② 第2批触发</t>
        </is>
      </c>
      <c r="B42" s="2" t="inlineStr">
        <is>
          <t>TLP≥700万</t>
        </is>
      </c>
      <c r="C42" s="10" t="n">
        <v>0.07000000000000001</v>
      </c>
      <c r="D42" s="10" t="n">
        <v>0.095</v>
      </c>
      <c r="E42" s="17">
        <f>'00参数面板'!$C$42/'00参数面板'!$C$41</f>
        <v/>
      </c>
      <c r="F42" s="11" t="inlineStr">
        <is>
          <t>TLP≥700万</t>
        </is>
      </c>
    </row>
    <row r="43" ht="22" customHeight="1">
      <c r="A43" s="2" t="inlineStr">
        <is>
          <t>③ 第3批触发</t>
        </is>
      </c>
      <c r="B43" s="2" t="inlineStr">
        <is>
          <t>TLP≥1750万</t>
        </is>
      </c>
      <c r="C43" s="10" t="n">
        <v>0.175</v>
      </c>
      <c r="D43" s="10" t="n">
        <v>0.238</v>
      </c>
      <c r="E43" s="17">
        <f>'00参数面板'!$C$43/'00参数面板'!$C$41</f>
        <v/>
      </c>
      <c r="F43" s="11" t="inlineStr">
        <is>
          <t>TLP≥1750万</t>
        </is>
      </c>
    </row>
    <row r="44" ht="22" customHeight="1">
      <c r="A44" s="2" t="inlineStr">
        <is>
          <t>④ 第4批触发</t>
        </is>
      </c>
      <c r="B44" s="2" t="inlineStr">
        <is>
          <t>TLP≥3500万/180天</t>
        </is>
      </c>
      <c r="C44" s="10" t="n">
        <v>0.35</v>
      </c>
      <c r="D44" s="10" t="n">
        <v>0.475</v>
      </c>
      <c r="E44" s="17">
        <f>'00参数面板'!$C$44/'00参数面板'!$C$41</f>
        <v/>
      </c>
      <c r="F44" s="11" t="inlineStr">
        <is>
          <t>TLP≥3500万/180天</t>
        </is>
      </c>
    </row>
    <row r="45" ht="22" customHeight="1">
      <c r="A45" s="2" t="inlineStr">
        <is>
          <t>⑤ 目标价(低)</t>
        </is>
      </c>
      <c r="B45" s="2" t="inlineStr">
        <is>
          <t>80×预测</t>
        </is>
      </c>
      <c r="C45" s="13">
        <f>'00参数面板'!$C$20</f>
        <v/>
      </c>
      <c r="D45" s="13">
        <f>'00参数面板'!$C$28</f>
        <v/>
      </c>
      <c r="E45" s="17">
        <f>'00参数面板'!$C$45/'00参数面板'!$C$41</f>
        <v/>
      </c>
      <c r="F45" s="11" t="inlineStr">
        <is>
          <t>80×预测</t>
        </is>
      </c>
    </row>
    <row r="46" ht="22" customHeight="1">
      <c r="A46" s="2" t="inlineStr">
        <is>
          <t>⑥ 目标价(高)</t>
        </is>
      </c>
      <c r="B46" s="2" t="inlineStr">
        <is>
          <t>120×预测</t>
        </is>
      </c>
      <c r="C46" s="13">
        <f>'00参数面板'!$C$21</f>
        <v/>
      </c>
      <c r="D46" s="13">
        <f>'00参数面板'!$C$29</f>
        <v/>
      </c>
      <c r="E46" s="17">
        <f>'00参数面板'!$C$46/'00参数面板'!$C$41</f>
        <v/>
      </c>
      <c r="F46" s="11" t="inlineStr">
        <is>
          <t>120×预测</t>
        </is>
      </c>
    </row>
  </sheetData>
  <mergeCells count="10">
    <mergeCell ref="A24:F24"/>
    <mergeCell ref="A2:B2"/>
    <mergeCell ref="C2:D2"/>
    <mergeCell ref="F2"/>
    <mergeCell ref="A1:F1"/>
    <mergeCell ref="A31:I31"/>
    <mergeCell ref="A12:F12"/>
    <mergeCell ref="A4:F4"/>
    <mergeCell ref="E2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1" customWidth="1" min="14" max="14"/>
    <col width="12" customWidth="1" min="15" max="15"/>
  </cols>
  <sheetData>
    <row r="1" ht="44" customHeight="1">
      <c r="A1" s="1" t="inlineStr">
        <is>
          <t>母TOKEN（符）价格走势 × 各节点收益发展分析</t>
        </is>
      </c>
      <c r="B1" s="296" t="n"/>
      <c r="C1" s="296" t="n"/>
      <c r="D1" s="296" t="n"/>
      <c r="E1" s="296" t="n"/>
      <c r="F1" s="296" t="n"/>
      <c r="G1" s="296" t="n"/>
      <c r="H1" s="296" t="n"/>
      <c r="I1" s="296" t="n"/>
      <c r="J1" s="296" t="n"/>
      <c r="K1" s="296" t="n"/>
      <c r="L1" s="296" t="n"/>
      <c r="M1" s="296" t="n"/>
      <c r="N1" s="296" t="n"/>
      <c r="O1" s="297" t="n"/>
    </row>
    <row r="2" ht="22" customHeight="1">
      <c r="A2" s="2" t="inlineStr">
        <is>
          <t>🔒 固定常量</t>
        </is>
      </c>
      <c r="B2" s="296" t="n"/>
      <c r="C2" s="297" t="n"/>
      <c r="D2" s="3" t="inlineStr">
        <is>
          <t>📝 可变输入（引用参数面板⑤⑥）</t>
        </is>
      </c>
      <c r="E2" s="296" t="n"/>
      <c r="F2" s="297" t="n"/>
      <c r="G2" s="4" t="inlineStr">
        <is>
          <t>📊 计算结果（公式联动）</t>
        </is>
      </c>
      <c r="H2" s="296" t="n"/>
      <c r="I2" s="296" t="n"/>
      <c r="J2" s="297" t="n"/>
      <c r="K2" s="7" t="inlineStr">
        <is>
          <t>修改参数面板D20/D21目标价 → 本表自动更新</t>
        </is>
      </c>
      <c r="L2" s="296" t="n"/>
      <c r="M2" s="296" t="n"/>
      <c r="N2" s="296" t="n"/>
      <c r="O2" s="297" t="n"/>
    </row>
    <row r="3" ht="10" customHeight="1"/>
    <row r="4" ht="26" customHeight="1">
      <c r="A4" s="6" t="inlineStr">
        <is>
          <t>① 母TOKEN价格阶段定义（均引用参数面板E模块）</t>
        </is>
      </c>
      <c r="B4" s="296" t="n"/>
      <c r="C4" s="296" t="n"/>
      <c r="D4" s="296" t="n"/>
      <c r="E4" s="296" t="n"/>
      <c r="F4" s="296" t="n"/>
      <c r="G4" s="296" t="n"/>
      <c r="H4" s="296" t="n"/>
      <c r="I4" s="296" t="n"/>
      <c r="J4" s="296" t="n"/>
      <c r="K4" s="296" t="n"/>
      <c r="L4" s="296" t="n"/>
      <c r="M4" s="296" t="n"/>
      <c r="N4" s="296" t="n"/>
      <c r="O4" s="297" t="n"/>
    </row>
    <row r="5" ht="24" customHeight="1">
      <c r="A5" s="7" t="inlineStr">
        <is>
          <t>阶段</t>
        </is>
      </c>
      <c r="B5" s="7" t="inlineStr">
        <is>
          <t>触发说明</t>
        </is>
      </c>
      <c r="C5" s="7" t="inlineStr">
        <is>
          <t>母TOKEN价($)</t>
        </is>
      </c>
      <c r="D5" s="7" t="inlineStr">
        <is>
          <t>类型</t>
        </is>
      </c>
      <c r="E5" s="7" t="inlineStr">
        <is>
          <t>母币涨幅(×)</t>
        </is>
      </c>
      <c r="F5" s="7" t="inlineStr">
        <is>
          <t>价格来源公式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 ht="20" customHeight="1">
      <c r="A6" s="2">
        <f>'00参数面板'!$A$41</f>
        <v/>
      </c>
      <c r="B6" s="2">
        <f>'00参数面板'!$B$41</f>
        <v/>
      </c>
      <c r="C6" s="10">
        <f>'00参数面板'!$C$41</f>
        <v/>
      </c>
      <c r="D6" s="2" t="inlineStr">
        <is>
          <t>🔒固定</t>
        </is>
      </c>
      <c r="E6" s="17">
        <f>'00参数面板'!$C$41/'00参数面板'!$C$41</f>
        <v/>
      </c>
      <c r="F6" s="11" t="inlineStr">
        <is>
          <t>引用参数面板E!C41</t>
        </is>
      </c>
    </row>
    <row r="7" ht="20" customHeight="1">
      <c r="A7" s="2">
        <f>'00参数面板'!$A$42</f>
        <v/>
      </c>
      <c r="B7" s="2">
        <f>'00参数面板'!$B$42</f>
        <v/>
      </c>
      <c r="C7" s="10">
        <f>'00参数面板'!$C$42</f>
        <v/>
      </c>
      <c r="D7" s="2" t="inlineStr">
        <is>
          <t>🔒固定</t>
        </is>
      </c>
      <c r="E7" s="17">
        <f>'00参数面板'!$C$42/'00参数面板'!$C$41</f>
        <v/>
      </c>
      <c r="F7" s="11" t="inlineStr">
        <is>
          <t>引用参数面板E!C42</t>
        </is>
      </c>
    </row>
    <row r="8" ht="20" customHeight="1">
      <c r="A8" s="2">
        <f>'00参数面板'!$A$43</f>
        <v/>
      </c>
      <c r="B8" s="2">
        <f>'00参数面板'!$B$43</f>
        <v/>
      </c>
      <c r="C8" s="10">
        <f>'00参数面板'!$C$43</f>
        <v/>
      </c>
      <c r="D8" s="2" t="inlineStr">
        <is>
          <t>🔒固定</t>
        </is>
      </c>
      <c r="E8" s="17">
        <f>'00参数面板'!$C$43/'00参数面板'!$C$41</f>
        <v/>
      </c>
      <c r="F8" s="11" t="inlineStr">
        <is>
          <t>引用参数面板E!C43</t>
        </is>
      </c>
    </row>
    <row r="9" ht="20" customHeight="1">
      <c r="A9" s="2">
        <f>'00参数面板'!$A$44</f>
        <v/>
      </c>
      <c r="B9" s="2">
        <f>'00参数面板'!$B$44</f>
        <v/>
      </c>
      <c r="C9" s="10">
        <f>'00参数面板'!$C$44</f>
        <v/>
      </c>
      <c r="D9" s="2" t="inlineStr">
        <is>
          <t>🔒固定</t>
        </is>
      </c>
      <c r="E9" s="17">
        <f>'00参数面板'!$C$44/'00参数面板'!$C$41</f>
        <v/>
      </c>
      <c r="F9" s="11" t="inlineStr">
        <is>
          <t>引用参数面板E!C44</t>
        </is>
      </c>
    </row>
    <row r="10" ht="20" customHeight="1">
      <c r="A10" s="2">
        <f>'00参数面板'!$A$45</f>
        <v/>
      </c>
      <c r="B10" s="2">
        <f>'00参数面板'!$B$45</f>
        <v/>
      </c>
      <c r="C10" s="13">
        <f>'00参数面板'!$C$45</f>
        <v/>
      </c>
      <c r="D10" s="2" t="inlineStr">
        <is>
          <t>📝可变</t>
        </is>
      </c>
      <c r="E10" s="17">
        <f>'00参数面板'!$C$45/'00参数面板'!$C$41</f>
        <v/>
      </c>
      <c r="F10" s="11" t="inlineStr">
        <is>
          <t>引用参数面板E!C45</t>
        </is>
      </c>
    </row>
    <row r="11" ht="20" customHeight="1">
      <c r="A11" s="2">
        <f>'00参数面板'!$A$46</f>
        <v/>
      </c>
      <c r="B11" s="2">
        <f>'00参数面板'!$B$46</f>
        <v/>
      </c>
      <c r="C11" s="13">
        <f>'00参数面板'!$C$46</f>
        <v/>
      </c>
      <c r="D11" s="2" t="inlineStr">
        <is>
          <t>📝可变</t>
        </is>
      </c>
      <c r="E11" s="17">
        <f>'00参数面板'!$C$46/'00参数面板'!$C$41</f>
        <v/>
      </c>
      <c r="F11" s="11" t="inlineStr">
        <is>
          <t>引用参数面板E!C46</t>
        </is>
      </c>
    </row>
    <row r="13" ht="10" customHeight="1"/>
    <row r="14" ht="26" customHeight="1">
      <c r="A14" s="6" t="inlineStr">
        <is>
          <t>② 各节点收益矩阵（所有数值为Excel公式，随参数面板自动联动）</t>
        </is>
      </c>
      <c r="B14" s="296" t="n"/>
      <c r="C14" s="296" t="n"/>
      <c r="D14" s="296" t="n"/>
      <c r="E14" s="296" t="n"/>
      <c r="F14" s="296" t="n"/>
      <c r="G14" s="296" t="n"/>
      <c r="H14" s="296" t="n"/>
      <c r="I14" s="296" t="n"/>
      <c r="J14" s="296" t="n"/>
      <c r="K14" s="296" t="n"/>
      <c r="L14" s="296" t="n"/>
      <c r="M14" s="296" t="n"/>
      <c r="N14" s="296" t="n"/>
      <c r="O14" s="297" t="n"/>
    </row>
    <row r="15" ht="36" customHeight="1">
      <c r="A15" s="7" t="inlineStr">
        <is>
          <t>节点</t>
        </is>
      </c>
      <c r="B15" s="7" t="inlineStr">
        <is>
          <t>投资额(U)</t>
        </is>
      </c>
      <c r="C15" s="7" t="inlineStr">
        <is>
          <t>私募价($)</t>
        </is>
      </c>
      <c r="D15" s="7" t="inlineStr">
        <is>
          <t>获母TOKEN(枚)</t>
        </is>
      </c>
      <c r="E15" s="7" t="inlineStr">
        <is>
          <t>价格阶段</t>
        </is>
      </c>
      <c r="F15" s="7" t="inlineStr">
        <is>
          <t>母TOKEN价($)</t>
        </is>
      </c>
      <c r="G15" s="7" t="inlineStr">
        <is>
          <t>涨幅×</t>
        </is>
      </c>
      <c r="H15" s="7" t="inlineStr">
        <is>
          <t>持仓市值(U)</t>
        </is>
      </c>
      <c r="I15" s="7" t="inlineStr">
        <is>
          <t>市值/成本×</t>
        </is>
      </c>
      <c r="J15" s="7" t="inlineStr">
        <is>
          <t>日USDT(U)</t>
        </is>
      </c>
      <c r="K15" s="7" t="inlineStr">
        <is>
          <t>30天USDT(U)</t>
        </is>
      </c>
      <c r="L15" s="7" t="inlineStr">
        <is>
          <t>空投价值(U)</t>
        </is>
      </c>
      <c r="M15" s="7" t="inlineStr">
        <is>
          <t>总资产(U)</t>
        </is>
      </c>
      <c r="N15" s="7" t="inlineStr">
        <is>
          <t>总资产/成本×</t>
        </is>
      </c>
      <c r="O15" s="7" t="inlineStr">
        <is>
          <t>触发条件</t>
        </is>
      </c>
    </row>
    <row r="16" ht="21" customHeight="1">
      <c r="A16" s="18">
        <f>'00参数面板'!$A$33</f>
        <v/>
      </c>
      <c r="B16" s="19">
        <f>'00参数面板'!$C$33</f>
        <v/>
      </c>
      <c r="C16" s="20">
        <f>'00参数面板'!$E$33</f>
        <v/>
      </c>
      <c r="D16" s="21">
        <f>'00参数面板'!$C$33/'00参数面板'!$E$33</f>
        <v/>
      </c>
      <c r="E16" s="18">
        <f>'00参数面板'!$A$41</f>
        <v/>
      </c>
      <c r="F16" s="20">
        <f>'00参数面板'!$C$41</f>
        <v/>
      </c>
      <c r="G16" s="22">
        <f>'00参数面板'!$C$41/'00参数面板'!$C$41</f>
        <v/>
      </c>
      <c r="H16" s="23">
        <f>('00参数面板'!$C$33/'00参数面板'!$E$33)*'00参数面板'!$C$41</f>
        <v/>
      </c>
      <c r="I16" s="22">
        <f>(('00参数面板'!$C$33/'00参数面板'!$E$33)*'00参数面板'!$C$41)/'00参数面板'!$C$33</f>
        <v/>
      </c>
      <c r="J16" s="24">
        <f>'00参数面板'!$F$33</f>
        <v/>
      </c>
      <c r="K16" s="23">
        <f>'00参数面板'!$F$33*30</f>
        <v/>
      </c>
      <c r="L16" s="23">
        <f>'00参数面板'!$H$33*'00参数面板'!$C$41</f>
        <v/>
      </c>
      <c r="M16" s="23">
        <f>(('00参数面板'!$C$33/'00参数面板'!$E$33)*'00参数面板'!$C$41)+('00参数面板'!$F$33*30)+('00参数面板'!$H$33*'00参数面板'!$C$41)</f>
        <v/>
      </c>
      <c r="N16" s="22">
        <f>((('00参数面板'!$C$33/'00参数面板'!$E$33)*'00参数面板'!$C$41)+('00参数面板'!$F$33*30)+('00参数面板'!$H$33*'00参数面板'!$C$41))/'00参数面板'!$C$33</f>
        <v/>
      </c>
      <c r="O16" s="18">
        <f>'00参数面板'!$B$41</f>
        <v/>
      </c>
    </row>
    <row r="17" ht="21" customHeight="1">
      <c r="A17" s="25">
        <f>'00参数面板'!$A$33</f>
        <v/>
      </c>
      <c r="B17" s="26">
        <f>'00参数面板'!$C$33</f>
        <v/>
      </c>
      <c r="C17" s="27">
        <f>'00参数面板'!$E$33</f>
        <v/>
      </c>
      <c r="D17" s="28">
        <f>'00参数面板'!$C$33/'00参数面板'!$E$33</f>
        <v/>
      </c>
      <c r="E17" s="25">
        <f>'00参数面板'!$A$42</f>
        <v/>
      </c>
      <c r="F17" s="27">
        <f>'00参数面板'!$C$42</f>
        <v/>
      </c>
      <c r="G17" s="29">
        <f>'00参数面板'!$C$42/'00参数面板'!$C$41</f>
        <v/>
      </c>
      <c r="H17" s="30">
        <f>('00参数面板'!$C$33/'00参数面板'!$E$33)*'00参数面板'!$C$42</f>
        <v/>
      </c>
      <c r="I17" s="29">
        <f>(('00参数面板'!$C$33/'00参数面板'!$E$33)*'00参数面板'!$C$42)/'00参数面板'!$C$33</f>
        <v/>
      </c>
      <c r="J17" s="31">
        <f>'00参数面板'!$F$33</f>
        <v/>
      </c>
      <c r="K17" s="30">
        <f>'00参数面板'!$F$33*30</f>
        <v/>
      </c>
      <c r="L17" s="30">
        <f>'00参数面板'!$H$33*'00参数面板'!$C$42</f>
        <v/>
      </c>
      <c r="M17" s="30">
        <f>(('00参数面板'!$C$33/'00参数面板'!$E$33)*'00参数面板'!$C$42)+('00参数面板'!$F$33*30)+('00参数面板'!$H$33*'00参数面板'!$C$42)</f>
        <v/>
      </c>
      <c r="N17" s="29">
        <f>((('00参数面板'!$C$33/'00参数面板'!$E$33)*'00参数面板'!$C$42)+('00参数面板'!$F$33*30)+('00参数面板'!$H$33*'00参数面板'!$C$42))/'00参数面板'!$C$33</f>
        <v/>
      </c>
      <c r="O17" s="25">
        <f>'00参数面板'!$B$42</f>
        <v/>
      </c>
    </row>
    <row r="18" ht="21" customHeight="1">
      <c r="A18" s="32">
        <f>'00参数面板'!$A$33</f>
        <v/>
      </c>
      <c r="B18" s="33">
        <f>'00参数面板'!$C$33</f>
        <v/>
      </c>
      <c r="C18" s="34">
        <f>'00参数面板'!$E$33</f>
        <v/>
      </c>
      <c r="D18" s="35">
        <f>'00参数面板'!$C$33/'00参数面板'!$E$33</f>
        <v/>
      </c>
      <c r="E18" s="32">
        <f>'00参数面板'!$A$43</f>
        <v/>
      </c>
      <c r="F18" s="34">
        <f>'00参数面板'!$C$43</f>
        <v/>
      </c>
      <c r="G18" s="36">
        <f>'00参数面板'!$C$43/'00参数面板'!$C$41</f>
        <v/>
      </c>
      <c r="H18" s="37">
        <f>('00参数面板'!$C$33/'00参数面板'!$E$33)*'00参数面板'!$C$43</f>
        <v/>
      </c>
      <c r="I18" s="36">
        <f>(('00参数面板'!$C$33/'00参数面板'!$E$33)*'00参数面板'!$C$43)/'00参数面板'!$C$33</f>
        <v/>
      </c>
      <c r="J18" s="38">
        <f>'00参数面板'!$F$33</f>
        <v/>
      </c>
      <c r="K18" s="37">
        <f>'00参数面板'!$F$33*30</f>
        <v/>
      </c>
      <c r="L18" s="37">
        <f>'00参数面板'!$H$33*'00参数面板'!$C$43</f>
        <v/>
      </c>
      <c r="M18" s="37">
        <f>(('00参数面板'!$C$33/'00参数面板'!$E$33)*'00参数面板'!$C$43)+('00参数面板'!$F$33*30)+('00参数面板'!$H$33*'00参数面板'!$C$43)</f>
        <v/>
      </c>
      <c r="N18" s="36">
        <f>((('00参数面板'!$C$33/'00参数面板'!$E$33)*'00参数面板'!$C$43)+('00参数面板'!$F$33*30)+('00参数面板'!$H$33*'00参数面板'!$C$43))/'00参数面板'!$C$33</f>
        <v/>
      </c>
      <c r="O18" s="32">
        <f>'00参数面板'!$B$43</f>
        <v/>
      </c>
    </row>
    <row r="19" ht="21" customHeight="1">
      <c r="A19" s="39">
        <f>'00参数面板'!$A$33</f>
        <v/>
      </c>
      <c r="B19" s="40">
        <f>'00参数面板'!$C$33</f>
        <v/>
      </c>
      <c r="C19" s="41">
        <f>'00参数面板'!$E$33</f>
        <v/>
      </c>
      <c r="D19" s="42">
        <f>'00参数面板'!$C$33/'00参数面板'!$E$33</f>
        <v/>
      </c>
      <c r="E19" s="39">
        <f>'00参数面板'!$A$44</f>
        <v/>
      </c>
      <c r="F19" s="41">
        <f>'00参数面板'!$C$44</f>
        <v/>
      </c>
      <c r="G19" s="43">
        <f>'00参数面板'!$C$44/'00参数面板'!$C$41</f>
        <v/>
      </c>
      <c r="H19" s="44">
        <f>('00参数面板'!$C$33/'00参数面板'!$E$33)*'00参数面板'!$C$44</f>
        <v/>
      </c>
      <c r="I19" s="43">
        <f>(('00参数面板'!$C$33/'00参数面板'!$E$33)*'00参数面板'!$C$44)/'00参数面板'!$C$33</f>
        <v/>
      </c>
      <c r="J19" s="45">
        <f>'00参数面板'!$F$33</f>
        <v/>
      </c>
      <c r="K19" s="44">
        <f>'00参数面板'!$F$33*30</f>
        <v/>
      </c>
      <c r="L19" s="44">
        <f>'00参数面板'!$H$33*'00参数面板'!$C$44</f>
        <v/>
      </c>
      <c r="M19" s="44">
        <f>(('00参数面板'!$C$33/'00参数面板'!$E$33)*'00参数面板'!$C$44)+('00参数面板'!$F$33*30)+('00参数面板'!$H$33*'00参数面板'!$C$44)</f>
        <v/>
      </c>
      <c r="N19" s="43">
        <f>((('00参数面板'!$C$33/'00参数面板'!$E$33)*'00参数面板'!$C$44)+('00参数面板'!$F$33*30)+('00参数面板'!$H$33*'00参数面板'!$C$44))/'00参数面板'!$C$33</f>
        <v/>
      </c>
      <c r="O19" s="39">
        <f>'00参数面板'!$B$44</f>
        <v/>
      </c>
    </row>
    <row r="20" ht="21" customHeight="1">
      <c r="A20" s="46">
        <f>'00参数面板'!$A$33</f>
        <v/>
      </c>
      <c r="B20" s="47">
        <f>'00参数面板'!$C$33</f>
        <v/>
      </c>
      <c r="C20" s="48">
        <f>'00参数面板'!$E$33</f>
        <v/>
      </c>
      <c r="D20" s="49">
        <f>'00参数面板'!$C$33/'00参数面板'!$E$33</f>
        <v/>
      </c>
      <c r="E20" s="46">
        <f>'00参数面板'!$A$45</f>
        <v/>
      </c>
      <c r="F20" s="50">
        <f>'00参数面板'!$C$45</f>
        <v/>
      </c>
      <c r="G20" s="51">
        <f>'00参数面板'!$C$45/'00参数面板'!$C$41</f>
        <v/>
      </c>
      <c r="H20" s="52">
        <f>('00参数面板'!$C$33/'00参数面板'!$E$33)*'00参数面板'!$C$45</f>
        <v/>
      </c>
      <c r="I20" s="51">
        <f>(('00参数面板'!$C$33/'00参数面板'!$E$33)*'00参数面板'!$C$45)/'00参数面板'!$C$33</f>
        <v/>
      </c>
      <c r="J20" s="53">
        <f>'00参数面板'!$F$33</f>
        <v/>
      </c>
      <c r="K20" s="52">
        <f>'00参数面板'!$F$33*30</f>
        <v/>
      </c>
      <c r="L20" s="52">
        <f>'00参数面板'!$H$33*'00参数面板'!$C$45</f>
        <v/>
      </c>
      <c r="M20" s="52">
        <f>(('00参数面板'!$C$33/'00参数面板'!$E$33)*'00参数面板'!$C$45)+('00参数面板'!$F$33*30)+('00参数面板'!$H$33*'00参数面板'!$C$45)</f>
        <v/>
      </c>
      <c r="N20" s="51">
        <f>((('00参数面板'!$C$33/'00参数面板'!$E$33)*'00参数面板'!$C$45)+('00参数面板'!$F$33*30)+('00参数面板'!$H$33*'00参数面板'!$C$45))/'00参数面板'!$C$33</f>
        <v/>
      </c>
      <c r="O20" s="46">
        <f>'00参数面板'!$B$45</f>
        <v/>
      </c>
    </row>
    <row r="21" ht="21" customHeight="1">
      <c r="A21" s="54">
        <f>'00参数面板'!$A$33</f>
        <v/>
      </c>
      <c r="B21" s="55">
        <f>'00参数面板'!$C$33</f>
        <v/>
      </c>
      <c r="C21" s="56">
        <f>'00参数面板'!$E$33</f>
        <v/>
      </c>
      <c r="D21" s="57">
        <f>'00参数面板'!$C$33/'00参数面板'!$E$33</f>
        <v/>
      </c>
      <c r="E21" s="54">
        <f>'00参数面板'!$A$46</f>
        <v/>
      </c>
      <c r="F21" s="50">
        <f>'00参数面板'!$C$46</f>
        <v/>
      </c>
      <c r="G21" s="58">
        <f>'00参数面板'!$C$46/'00参数面板'!$C$41</f>
        <v/>
      </c>
      <c r="H21" s="59">
        <f>('00参数面板'!$C$33/'00参数面板'!$E$33)*'00参数面板'!$C$46</f>
        <v/>
      </c>
      <c r="I21" s="58">
        <f>(('00参数面板'!$C$33/'00参数面板'!$E$33)*'00参数面板'!$C$46)/'00参数面板'!$C$33</f>
        <v/>
      </c>
      <c r="J21" s="60">
        <f>'00参数面板'!$F$33</f>
        <v/>
      </c>
      <c r="K21" s="59">
        <f>'00参数面板'!$F$33*30</f>
        <v/>
      </c>
      <c r="L21" s="59">
        <f>'00参数面板'!$H$33*'00参数面板'!$C$46</f>
        <v/>
      </c>
      <c r="M21" s="59">
        <f>(('00参数面板'!$C$33/'00参数面板'!$E$33)*'00参数面板'!$C$46)+('00参数面板'!$F$33*30)+('00参数面板'!$H$33*'00参数面板'!$C$46)</f>
        <v/>
      </c>
      <c r="N21" s="58">
        <f>((('00参数面板'!$C$33/'00参数面板'!$E$33)*'00参数面板'!$C$46)+('00参数面板'!$F$33*30)+('00参数面板'!$H$33*'00参数面板'!$C$46))/'00参数面板'!$C$33</f>
        <v/>
      </c>
      <c r="O21" s="54">
        <f>'00参数面板'!$B$46</f>
        <v/>
      </c>
    </row>
    <row r="22" ht="4" customHeight="1">
      <c r="A22" s="61" t="n"/>
      <c r="B22" s="61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</row>
    <row r="23" ht="21" customHeight="1">
      <c r="A23" s="62">
        <f>'00参数面板'!$A$34</f>
        <v/>
      </c>
      <c r="B23" s="63">
        <f>'00参数面板'!$C$34</f>
        <v/>
      </c>
      <c r="C23" s="64">
        <f>'00参数面板'!$E$34</f>
        <v/>
      </c>
      <c r="D23" s="65">
        <f>'00参数面板'!$C$34/'00参数面板'!$E$34</f>
        <v/>
      </c>
      <c r="E23" s="62">
        <f>'00参数面板'!$A$41</f>
        <v/>
      </c>
      <c r="F23" s="64">
        <f>'00参数面板'!$C$41</f>
        <v/>
      </c>
      <c r="G23" s="66">
        <f>'00参数面板'!$C$41/'00参数面板'!$C$41</f>
        <v/>
      </c>
      <c r="H23" s="67">
        <f>('00参数面板'!$C$34/'00参数面板'!$E$34)*'00参数面板'!$C$41</f>
        <v/>
      </c>
      <c r="I23" s="66">
        <f>(('00参数面板'!$C$34/'00参数面板'!$E$34)*'00参数面板'!$C$41)/'00参数面板'!$C$34</f>
        <v/>
      </c>
      <c r="J23" s="68">
        <f>'00参数面板'!$F$34</f>
        <v/>
      </c>
      <c r="K23" s="67">
        <f>'00参数面板'!$F$34*30</f>
        <v/>
      </c>
      <c r="L23" s="67">
        <f>'00参数面板'!$H$34*'00参数面板'!$C$41</f>
        <v/>
      </c>
      <c r="M23" s="67">
        <f>(('00参数面板'!$C$34/'00参数面板'!$E$34)*'00参数面板'!$C$41)+('00参数面板'!$F$34*30)+('00参数面板'!$H$34*'00参数面板'!$C$41)</f>
        <v/>
      </c>
      <c r="N23" s="66">
        <f>((('00参数面板'!$C$34/'00参数面板'!$E$34)*'00参数面板'!$C$41)+('00参数面板'!$F$34*30)+('00参数面板'!$H$34*'00参数面板'!$C$41))/'00参数面板'!$C$34</f>
        <v/>
      </c>
      <c r="O23" s="62">
        <f>'00参数面板'!$B$41</f>
        <v/>
      </c>
    </row>
    <row r="24" ht="21" customHeight="1">
      <c r="A24" s="69">
        <f>'00参数面板'!$A$34</f>
        <v/>
      </c>
      <c r="B24" s="70">
        <f>'00参数面板'!$C$34</f>
        <v/>
      </c>
      <c r="C24" s="71">
        <f>'00参数面板'!$E$34</f>
        <v/>
      </c>
      <c r="D24" s="72">
        <f>'00参数面板'!$C$34/'00参数面板'!$E$34</f>
        <v/>
      </c>
      <c r="E24" s="69">
        <f>'00参数面板'!$A$42</f>
        <v/>
      </c>
      <c r="F24" s="71">
        <f>'00参数面板'!$C$42</f>
        <v/>
      </c>
      <c r="G24" s="73">
        <f>'00参数面板'!$C$42/'00参数面板'!$C$41</f>
        <v/>
      </c>
      <c r="H24" s="74">
        <f>('00参数面板'!$C$34/'00参数面板'!$E$34)*'00参数面板'!$C$42</f>
        <v/>
      </c>
      <c r="I24" s="73">
        <f>(('00参数面板'!$C$34/'00参数面板'!$E$34)*'00参数面板'!$C$42)/'00参数面板'!$C$34</f>
        <v/>
      </c>
      <c r="J24" s="75">
        <f>'00参数面板'!$F$34</f>
        <v/>
      </c>
      <c r="K24" s="74">
        <f>'00参数面板'!$F$34*30</f>
        <v/>
      </c>
      <c r="L24" s="74">
        <f>'00参数面板'!$H$34*'00参数面板'!$C$42</f>
        <v/>
      </c>
      <c r="M24" s="74">
        <f>(('00参数面板'!$C$34/'00参数面板'!$E$34)*'00参数面板'!$C$42)+('00参数面板'!$F$34*30)+('00参数面板'!$H$34*'00参数面板'!$C$42)</f>
        <v/>
      </c>
      <c r="N24" s="73">
        <f>((('00参数面板'!$C$34/'00参数面板'!$E$34)*'00参数面板'!$C$42)+('00参数面板'!$F$34*30)+('00参数面板'!$H$34*'00参数面板'!$C$42))/'00参数面板'!$C$34</f>
        <v/>
      </c>
      <c r="O24" s="69">
        <f>'00参数面板'!$B$42</f>
        <v/>
      </c>
    </row>
    <row r="25" ht="21" customHeight="1">
      <c r="A25" s="76">
        <f>'00参数面板'!$A$34</f>
        <v/>
      </c>
      <c r="B25" s="77">
        <f>'00参数面板'!$C$34</f>
        <v/>
      </c>
      <c r="C25" s="78">
        <f>'00参数面板'!$E$34</f>
        <v/>
      </c>
      <c r="D25" s="79">
        <f>'00参数面板'!$C$34/'00参数面板'!$E$34</f>
        <v/>
      </c>
      <c r="E25" s="76">
        <f>'00参数面板'!$A$43</f>
        <v/>
      </c>
      <c r="F25" s="78">
        <f>'00参数面板'!$C$43</f>
        <v/>
      </c>
      <c r="G25" s="80">
        <f>'00参数面板'!$C$43/'00参数面板'!$C$41</f>
        <v/>
      </c>
      <c r="H25" s="81">
        <f>('00参数面板'!$C$34/'00参数面板'!$E$34)*'00参数面板'!$C$43</f>
        <v/>
      </c>
      <c r="I25" s="80">
        <f>(('00参数面板'!$C$34/'00参数面板'!$E$34)*'00参数面板'!$C$43)/'00参数面板'!$C$34</f>
        <v/>
      </c>
      <c r="J25" s="82">
        <f>'00参数面板'!$F$34</f>
        <v/>
      </c>
      <c r="K25" s="81">
        <f>'00参数面板'!$F$34*30</f>
        <v/>
      </c>
      <c r="L25" s="81">
        <f>'00参数面板'!$H$34*'00参数面板'!$C$43</f>
        <v/>
      </c>
      <c r="M25" s="81">
        <f>(('00参数面板'!$C$34/'00参数面板'!$E$34)*'00参数面板'!$C$43)+('00参数面板'!$F$34*30)+('00参数面板'!$H$34*'00参数面板'!$C$43)</f>
        <v/>
      </c>
      <c r="N25" s="80">
        <f>((('00参数面板'!$C$34/'00参数面板'!$E$34)*'00参数面板'!$C$43)+('00参数面板'!$F$34*30)+('00参数面板'!$H$34*'00参数面板'!$C$43))/'00参数面板'!$C$34</f>
        <v/>
      </c>
      <c r="O25" s="76">
        <f>'00参数面板'!$B$43</f>
        <v/>
      </c>
    </row>
    <row r="26" ht="21" customHeight="1">
      <c r="A26" s="83">
        <f>'00参数面板'!$A$34</f>
        <v/>
      </c>
      <c r="B26" s="84">
        <f>'00参数面板'!$C$34</f>
        <v/>
      </c>
      <c r="C26" s="85">
        <f>'00参数面板'!$E$34</f>
        <v/>
      </c>
      <c r="D26" s="86">
        <f>'00参数面板'!$C$34/'00参数面板'!$E$34</f>
        <v/>
      </c>
      <c r="E26" s="83">
        <f>'00参数面板'!$A$44</f>
        <v/>
      </c>
      <c r="F26" s="85">
        <f>'00参数面板'!$C$44</f>
        <v/>
      </c>
      <c r="G26" s="87">
        <f>'00参数面板'!$C$44/'00参数面板'!$C$41</f>
        <v/>
      </c>
      <c r="H26" s="88">
        <f>('00参数面板'!$C$34/'00参数面板'!$E$34)*'00参数面板'!$C$44</f>
        <v/>
      </c>
      <c r="I26" s="87">
        <f>(('00参数面板'!$C$34/'00参数面板'!$E$34)*'00参数面板'!$C$44)/'00参数面板'!$C$34</f>
        <v/>
      </c>
      <c r="J26" s="89">
        <f>'00参数面板'!$F$34</f>
        <v/>
      </c>
      <c r="K26" s="88">
        <f>'00参数面板'!$F$34*30</f>
        <v/>
      </c>
      <c r="L26" s="88">
        <f>'00参数面板'!$H$34*'00参数面板'!$C$44</f>
        <v/>
      </c>
      <c r="M26" s="88">
        <f>(('00参数面板'!$C$34/'00参数面板'!$E$34)*'00参数面板'!$C$44)+('00参数面板'!$F$34*30)+('00参数面板'!$H$34*'00参数面板'!$C$44)</f>
        <v/>
      </c>
      <c r="N26" s="87">
        <f>((('00参数面板'!$C$34/'00参数面板'!$E$34)*'00参数面板'!$C$44)+('00参数面板'!$F$34*30)+('00参数面板'!$H$34*'00参数面板'!$C$44))/'00参数面板'!$C$34</f>
        <v/>
      </c>
      <c r="O26" s="83">
        <f>'00参数面板'!$B$44</f>
        <v/>
      </c>
    </row>
    <row r="27" ht="21" customHeight="1">
      <c r="A27" s="90">
        <f>'00参数面板'!$A$34</f>
        <v/>
      </c>
      <c r="B27" s="91">
        <f>'00参数面板'!$C$34</f>
        <v/>
      </c>
      <c r="C27" s="92">
        <f>'00参数面板'!$E$34</f>
        <v/>
      </c>
      <c r="D27" s="93">
        <f>'00参数面板'!$C$34/'00参数面板'!$E$34</f>
        <v/>
      </c>
      <c r="E27" s="90">
        <f>'00参数面板'!$A$45</f>
        <v/>
      </c>
      <c r="F27" s="50">
        <f>'00参数面板'!$C$45</f>
        <v/>
      </c>
      <c r="G27" s="94">
        <f>'00参数面板'!$C$45/'00参数面板'!$C$41</f>
        <v/>
      </c>
      <c r="H27" s="95">
        <f>('00参数面板'!$C$34/'00参数面板'!$E$34)*'00参数面板'!$C$45</f>
        <v/>
      </c>
      <c r="I27" s="94">
        <f>(('00参数面板'!$C$34/'00参数面板'!$E$34)*'00参数面板'!$C$45)/'00参数面板'!$C$34</f>
        <v/>
      </c>
      <c r="J27" s="96">
        <f>'00参数面板'!$F$34</f>
        <v/>
      </c>
      <c r="K27" s="95">
        <f>'00参数面板'!$F$34*30</f>
        <v/>
      </c>
      <c r="L27" s="95">
        <f>'00参数面板'!$H$34*'00参数面板'!$C$45</f>
        <v/>
      </c>
      <c r="M27" s="95">
        <f>(('00参数面板'!$C$34/'00参数面板'!$E$34)*'00参数面板'!$C$45)+('00参数面板'!$F$34*30)+('00参数面板'!$H$34*'00参数面板'!$C$45)</f>
        <v/>
      </c>
      <c r="N27" s="94">
        <f>((('00参数面板'!$C$34/'00参数面板'!$E$34)*'00参数面板'!$C$45)+('00参数面板'!$F$34*30)+('00参数面板'!$H$34*'00参数面板'!$C$45))/'00参数面板'!$C$34</f>
        <v/>
      </c>
      <c r="O27" s="90">
        <f>'00参数面板'!$B$45</f>
        <v/>
      </c>
    </row>
    <row r="28" ht="21" customHeight="1">
      <c r="A28" s="97">
        <f>'00参数面板'!$A$34</f>
        <v/>
      </c>
      <c r="B28" s="98">
        <f>'00参数面板'!$C$34</f>
        <v/>
      </c>
      <c r="C28" s="99">
        <f>'00参数面板'!$E$34</f>
        <v/>
      </c>
      <c r="D28" s="100">
        <f>'00参数面板'!$C$34/'00参数面板'!$E$34</f>
        <v/>
      </c>
      <c r="E28" s="97">
        <f>'00参数面板'!$A$46</f>
        <v/>
      </c>
      <c r="F28" s="50">
        <f>'00参数面板'!$C$46</f>
        <v/>
      </c>
      <c r="G28" s="101">
        <f>'00参数面板'!$C$46/'00参数面板'!$C$41</f>
        <v/>
      </c>
      <c r="H28" s="102">
        <f>('00参数面板'!$C$34/'00参数面板'!$E$34)*'00参数面板'!$C$46</f>
        <v/>
      </c>
      <c r="I28" s="101">
        <f>(('00参数面板'!$C$34/'00参数面板'!$E$34)*'00参数面板'!$C$46)/'00参数面板'!$C$34</f>
        <v/>
      </c>
      <c r="J28" s="103">
        <f>'00参数面板'!$F$34</f>
        <v/>
      </c>
      <c r="K28" s="102">
        <f>'00参数面板'!$F$34*30</f>
        <v/>
      </c>
      <c r="L28" s="102">
        <f>'00参数面板'!$H$34*'00参数面板'!$C$46</f>
        <v/>
      </c>
      <c r="M28" s="102">
        <f>(('00参数面板'!$C$34/'00参数面板'!$E$34)*'00参数面板'!$C$46)+('00参数面板'!$F$34*30)+('00参数面板'!$H$34*'00参数面板'!$C$46)</f>
        <v/>
      </c>
      <c r="N28" s="101">
        <f>((('00参数面板'!$C$34/'00参数面板'!$E$34)*'00参数面板'!$C$46)+('00参数面板'!$F$34*30)+('00参数面板'!$H$34*'00参数面板'!$C$46))/'00参数面板'!$C$34</f>
        <v/>
      </c>
      <c r="O28" s="97">
        <f>'00参数面板'!$B$46</f>
        <v/>
      </c>
    </row>
    <row r="29" ht="4" customHeight="1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</row>
    <row r="30" ht="21" customHeight="1">
      <c r="A30" s="104">
        <f>'00参数面板'!$A$35</f>
        <v/>
      </c>
      <c r="B30" s="105">
        <f>'00参数面板'!$C$35</f>
        <v/>
      </c>
      <c r="C30" s="106">
        <f>'00参数面板'!$E$35</f>
        <v/>
      </c>
      <c r="D30" s="107">
        <f>'00参数面板'!$C$35/'00参数面板'!$E$35</f>
        <v/>
      </c>
      <c r="E30" s="104">
        <f>'00参数面板'!$A$41</f>
        <v/>
      </c>
      <c r="F30" s="106">
        <f>'00参数面板'!$C$41</f>
        <v/>
      </c>
      <c r="G30" s="108">
        <f>'00参数面板'!$C$41/'00参数面板'!$C$41</f>
        <v/>
      </c>
      <c r="H30" s="109">
        <f>('00参数面板'!$C$35/'00参数面板'!$E$35)*'00参数面板'!$C$41</f>
        <v/>
      </c>
      <c r="I30" s="108">
        <f>(('00参数面板'!$C$35/'00参数面板'!$E$35)*'00参数面板'!$C$41)/'00参数面板'!$C$35</f>
        <v/>
      </c>
      <c r="J30" s="110">
        <f>'00参数面板'!$F$35</f>
        <v/>
      </c>
      <c r="K30" s="109">
        <f>'00参数面板'!$F$35*30</f>
        <v/>
      </c>
      <c r="L30" s="109">
        <f>'00参数面板'!$H$35*'00参数面板'!$C$41</f>
        <v/>
      </c>
      <c r="M30" s="109">
        <f>(('00参数面板'!$C$35/'00参数面板'!$E$35)*'00参数面板'!$C$41)+('00参数面板'!$F$35*30)+('00参数面板'!$H$35*'00参数面板'!$C$41)</f>
        <v/>
      </c>
      <c r="N30" s="108">
        <f>((('00参数面板'!$C$35/'00参数面板'!$E$35)*'00参数面板'!$C$41)+('00参数面板'!$F$35*30)+('00参数面板'!$H$35*'00参数面板'!$C$41))/'00参数面板'!$C$35</f>
        <v/>
      </c>
      <c r="O30" s="104">
        <f>'00参数面板'!$B$41</f>
        <v/>
      </c>
    </row>
    <row r="31" ht="21" customHeight="1">
      <c r="A31" s="111">
        <f>'00参数面板'!$A$35</f>
        <v/>
      </c>
      <c r="B31" s="112">
        <f>'00参数面板'!$C$35</f>
        <v/>
      </c>
      <c r="C31" s="113">
        <f>'00参数面板'!$E$35</f>
        <v/>
      </c>
      <c r="D31" s="114">
        <f>'00参数面板'!$C$35/'00参数面板'!$E$35</f>
        <v/>
      </c>
      <c r="E31" s="111">
        <f>'00参数面板'!$A$42</f>
        <v/>
      </c>
      <c r="F31" s="113">
        <f>'00参数面板'!$C$42</f>
        <v/>
      </c>
      <c r="G31" s="115">
        <f>'00参数面板'!$C$42/'00参数面板'!$C$41</f>
        <v/>
      </c>
      <c r="H31" s="116">
        <f>('00参数面板'!$C$35/'00参数面板'!$E$35)*'00参数面板'!$C$42</f>
        <v/>
      </c>
      <c r="I31" s="115">
        <f>(('00参数面板'!$C$35/'00参数面板'!$E$35)*'00参数面板'!$C$42)/'00参数面板'!$C$35</f>
        <v/>
      </c>
      <c r="J31" s="117">
        <f>'00参数面板'!$F$35</f>
        <v/>
      </c>
      <c r="K31" s="116">
        <f>'00参数面板'!$F$35*30</f>
        <v/>
      </c>
      <c r="L31" s="116">
        <f>'00参数面板'!$H$35*'00参数面板'!$C$42</f>
        <v/>
      </c>
      <c r="M31" s="116">
        <f>(('00参数面板'!$C$35/'00参数面板'!$E$35)*'00参数面板'!$C$42)+('00参数面板'!$F$35*30)+('00参数面板'!$H$35*'00参数面板'!$C$42)</f>
        <v/>
      </c>
      <c r="N31" s="115">
        <f>((('00参数面板'!$C$35/'00参数面板'!$E$35)*'00参数面板'!$C$42)+('00参数面板'!$F$35*30)+('00参数面板'!$H$35*'00参数面板'!$C$42))/'00参数面板'!$C$35</f>
        <v/>
      </c>
      <c r="O31" s="111">
        <f>'00参数面板'!$B$42</f>
        <v/>
      </c>
    </row>
    <row r="32" ht="21" customHeight="1">
      <c r="A32" s="118">
        <f>'00参数面板'!$A$35</f>
        <v/>
      </c>
      <c r="B32" s="119">
        <f>'00参数面板'!$C$35</f>
        <v/>
      </c>
      <c r="C32" s="120">
        <f>'00参数面板'!$E$35</f>
        <v/>
      </c>
      <c r="D32" s="121">
        <f>'00参数面板'!$C$35/'00参数面板'!$E$35</f>
        <v/>
      </c>
      <c r="E32" s="118">
        <f>'00参数面板'!$A$43</f>
        <v/>
      </c>
      <c r="F32" s="120">
        <f>'00参数面板'!$C$43</f>
        <v/>
      </c>
      <c r="G32" s="122">
        <f>'00参数面板'!$C$43/'00参数面板'!$C$41</f>
        <v/>
      </c>
      <c r="H32" s="123">
        <f>('00参数面板'!$C$35/'00参数面板'!$E$35)*'00参数面板'!$C$43</f>
        <v/>
      </c>
      <c r="I32" s="122">
        <f>(('00参数面板'!$C$35/'00参数面板'!$E$35)*'00参数面板'!$C$43)/'00参数面板'!$C$35</f>
        <v/>
      </c>
      <c r="J32" s="124">
        <f>'00参数面板'!$F$35</f>
        <v/>
      </c>
      <c r="K32" s="123">
        <f>'00参数面板'!$F$35*30</f>
        <v/>
      </c>
      <c r="L32" s="123">
        <f>'00参数面板'!$H$35*'00参数面板'!$C$43</f>
        <v/>
      </c>
      <c r="M32" s="123">
        <f>(('00参数面板'!$C$35/'00参数面板'!$E$35)*'00参数面板'!$C$43)+('00参数面板'!$F$35*30)+('00参数面板'!$H$35*'00参数面板'!$C$43)</f>
        <v/>
      </c>
      <c r="N32" s="122">
        <f>((('00参数面板'!$C$35/'00参数面板'!$E$35)*'00参数面板'!$C$43)+('00参数面板'!$F$35*30)+('00参数面板'!$H$35*'00参数面板'!$C$43))/'00参数面板'!$C$35</f>
        <v/>
      </c>
      <c r="O32" s="118">
        <f>'00参数面板'!$B$43</f>
        <v/>
      </c>
    </row>
    <row r="33" ht="21" customHeight="1">
      <c r="A33" s="125">
        <f>'00参数面板'!$A$35</f>
        <v/>
      </c>
      <c r="B33" s="126">
        <f>'00参数面板'!$C$35</f>
        <v/>
      </c>
      <c r="C33" s="127">
        <f>'00参数面板'!$E$35</f>
        <v/>
      </c>
      <c r="D33" s="128">
        <f>'00参数面板'!$C$35/'00参数面板'!$E$35</f>
        <v/>
      </c>
      <c r="E33" s="125">
        <f>'00参数面板'!$A$44</f>
        <v/>
      </c>
      <c r="F33" s="127">
        <f>'00参数面板'!$C$44</f>
        <v/>
      </c>
      <c r="G33" s="129">
        <f>'00参数面板'!$C$44/'00参数面板'!$C$41</f>
        <v/>
      </c>
      <c r="H33" s="130">
        <f>('00参数面板'!$C$35/'00参数面板'!$E$35)*'00参数面板'!$C$44</f>
        <v/>
      </c>
      <c r="I33" s="129">
        <f>(('00参数面板'!$C$35/'00参数面板'!$E$35)*'00参数面板'!$C$44)/'00参数面板'!$C$35</f>
        <v/>
      </c>
      <c r="J33" s="131">
        <f>'00参数面板'!$F$35</f>
        <v/>
      </c>
      <c r="K33" s="130">
        <f>'00参数面板'!$F$35*30</f>
        <v/>
      </c>
      <c r="L33" s="130">
        <f>'00参数面板'!$H$35*'00参数面板'!$C$44</f>
        <v/>
      </c>
      <c r="M33" s="130">
        <f>(('00参数面板'!$C$35/'00参数面板'!$E$35)*'00参数面板'!$C$44)+('00参数面板'!$F$35*30)+('00参数面板'!$H$35*'00参数面板'!$C$44)</f>
        <v/>
      </c>
      <c r="N33" s="129">
        <f>((('00参数面板'!$C$35/'00参数面板'!$E$35)*'00参数面板'!$C$44)+('00参数面板'!$F$35*30)+('00参数面板'!$H$35*'00参数面板'!$C$44))/'00参数面板'!$C$35</f>
        <v/>
      </c>
      <c r="O33" s="125">
        <f>'00参数面板'!$B$44</f>
        <v/>
      </c>
    </row>
    <row r="34" ht="21" customHeight="1">
      <c r="A34" s="132">
        <f>'00参数面板'!$A$35</f>
        <v/>
      </c>
      <c r="B34" s="133">
        <f>'00参数面板'!$C$35</f>
        <v/>
      </c>
      <c r="C34" s="134">
        <f>'00参数面板'!$E$35</f>
        <v/>
      </c>
      <c r="D34" s="135">
        <f>'00参数面板'!$C$35/'00参数面板'!$E$35</f>
        <v/>
      </c>
      <c r="E34" s="132">
        <f>'00参数面板'!$A$45</f>
        <v/>
      </c>
      <c r="F34" s="50">
        <f>'00参数面板'!$C$45</f>
        <v/>
      </c>
      <c r="G34" s="136">
        <f>'00参数面板'!$C$45/'00参数面板'!$C$41</f>
        <v/>
      </c>
      <c r="H34" s="137">
        <f>('00参数面板'!$C$35/'00参数面板'!$E$35)*'00参数面板'!$C$45</f>
        <v/>
      </c>
      <c r="I34" s="136">
        <f>(('00参数面板'!$C$35/'00参数面板'!$E$35)*'00参数面板'!$C$45)/'00参数面板'!$C$35</f>
        <v/>
      </c>
      <c r="J34" s="138">
        <f>'00参数面板'!$F$35</f>
        <v/>
      </c>
      <c r="K34" s="137">
        <f>'00参数面板'!$F$35*30</f>
        <v/>
      </c>
      <c r="L34" s="137">
        <f>'00参数面板'!$H$35*'00参数面板'!$C$45</f>
        <v/>
      </c>
      <c r="M34" s="137">
        <f>(('00参数面板'!$C$35/'00参数面板'!$E$35)*'00参数面板'!$C$45)+('00参数面板'!$F$35*30)+('00参数面板'!$H$35*'00参数面板'!$C$45)</f>
        <v/>
      </c>
      <c r="N34" s="136">
        <f>((('00参数面板'!$C$35/'00参数面板'!$E$35)*'00参数面板'!$C$45)+('00参数面板'!$F$35*30)+('00参数面板'!$H$35*'00参数面板'!$C$45))/'00参数面板'!$C$35</f>
        <v/>
      </c>
      <c r="O34" s="132">
        <f>'00参数面板'!$B$45</f>
        <v/>
      </c>
    </row>
    <row r="35" ht="21" customHeight="1">
      <c r="A35" s="139">
        <f>'00参数面板'!$A$35</f>
        <v/>
      </c>
      <c r="B35" s="140">
        <f>'00参数面板'!$C$35</f>
        <v/>
      </c>
      <c r="C35" s="141">
        <f>'00参数面板'!$E$35</f>
        <v/>
      </c>
      <c r="D35" s="142">
        <f>'00参数面板'!$C$35/'00参数面板'!$E$35</f>
        <v/>
      </c>
      <c r="E35" s="139">
        <f>'00参数面板'!$A$46</f>
        <v/>
      </c>
      <c r="F35" s="50">
        <f>'00参数面板'!$C$46</f>
        <v/>
      </c>
      <c r="G35" s="143">
        <f>'00参数面板'!$C$46/'00参数面板'!$C$41</f>
        <v/>
      </c>
      <c r="H35" s="144">
        <f>('00参数面板'!$C$35/'00参数面板'!$E$35)*'00参数面板'!$C$46</f>
        <v/>
      </c>
      <c r="I35" s="143">
        <f>(('00参数面板'!$C$35/'00参数面板'!$E$35)*'00参数面板'!$C$46)/'00参数面板'!$C$35</f>
        <v/>
      </c>
      <c r="J35" s="145">
        <f>'00参数面板'!$F$35</f>
        <v/>
      </c>
      <c r="K35" s="144">
        <f>'00参数面板'!$F$35*30</f>
        <v/>
      </c>
      <c r="L35" s="144">
        <f>'00参数面板'!$H$35*'00参数面板'!$C$46</f>
        <v/>
      </c>
      <c r="M35" s="144">
        <f>(('00参数面板'!$C$35/'00参数面板'!$E$35)*'00参数面板'!$C$46)+('00参数面板'!$F$35*30)+('00参数面板'!$H$35*'00参数面板'!$C$46)</f>
        <v/>
      </c>
      <c r="N35" s="143">
        <f>((('00参数面板'!$C$35/'00参数面板'!$E$35)*'00参数面板'!$C$46)+('00参数面板'!$F$35*30)+('00参数面板'!$H$35*'00参数面板'!$C$46))/'00参数面板'!$C$35</f>
        <v/>
      </c>
      <c r="O35" s="139">
        <f>'00参数面板'!$B$46</f>
        <v/>
      </c>
    </row>
    <row r="36" ht="4" customHeight="1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</row>
    <row r="37" ht="21" customHeight="1">
      <c r="A37" s="146">
        <f>'00参数面板'!$A$36</f>
        <v/>
      </c>
      <c r="B37" s="147">
        <f>'00参数面板'!$C$36</f>
        <v/>
      </c>
      <c r="C37" s="148">
        <f>'00参数面板'!$E$36</f>
        <v/>
      </c>
      <c r="D37" s="149">
        <f>'00参数面板'!$C$36/'00参数面板'!$E$36</f>
        <v/>
      </c>
      <c r="E37" s="146">
        <f>'00参数面板'!$A$41</f>
        <v/>
      </c>
      <c r="F37" s="148">
        <f>'00参数面板'!$C$41</f>
        <v/>
      </c>
      <c r="G37" s="150">
        <f>'00参数面板'!$C$41/'00参数面板'!$C$41</f>
        <v/>
      </c>
      <c r="H37" s="151">
        <f>('00参数面板'!$C$36/'00参数面板'!$E$36)*'00参数面板'!$C$41</f>
        <v/>
      </c>
      <c r="I37" s="150">
        <f>(('00参数面板'!$C$36/'00参数面板'!$E$36)*'00参数面板'!$C$41)/'00参数面板'!$C$36</f>
        <v/>
      </c>
      <c r="J37" s="152">
        <f>'00参数面板'!$F$36</f>
        <v/>
      </c>
      <c r="K37" s="151">
        <f>'00参数面板'!$F$36*30</f>
        <v/>
      </c>
      <c r="L37" s="151">
        <f>'00参数面板'!$H$36*'00参数面板'!$C$41</f>
        <v/>
      </c>
      <c r="M37" s="151">
        <f>(('00参数面板'!$C$36/'00参数面板'!$E$36)*'00参数面板'!$C$41)+('00参数面板'!$F$36*30)+('00参数面板'!$H$36*'00参数面板'!$C$41)</f>
        <v/>
      </c>
      <c r="N37" s="150">
        <f>((('00参数面板'!$C$36/'00参数面板'!$E$36)*'00参数面板'!$C$41)+('00参数面板'!$F$36*30)+('00参数面板'!$H$36*'00参数面板'!$C$41))/'00参数面板'!$C$36</f>
        <v/>
      </c>
      <c r="O37" s="146">
        <f>'00参数面板'!$B$41</f>
        <v/>
      </c>
    </row>
    <row r="38" ht="21" customHeight="1">
      <c r="A38" s="153">
        <f>'00参数面板'!$A$36</f>
        <v/>
      </c>
      <c r="B38" s="154">
        <f>'00参数面板'!$C$36</f>
        <v/>
      </c>
      <c r="C38" s="155">
        <f>'00参数面板'!$E$36</f>
        <v/>
      </c>
      <c r="D38" s="156">
        <f>'00参数面板'!$C$36/'00参数面板'!$E$36</f>
        <v/>
      </c>
      <c r="E38" s="153">
        <f>'00参数面板'!$A$42</f>
        <v/>
      </c>
      <c r="F38" s="155">
        <f>'00参数面板'!$C$42</f>
        <v/>
      </c>
      <c r="G38" s="157">
        <f>'00参数面板'!$C$42/'00参数面板'!$C$41</f>
        <v/>
      </c>
      <c r="H38" s="158">
        <f>('00参数面板'!$C$36/'00参数面板'!$E$36)*'00参数面板'!$C$42</f>
        <v/>
      </c>
      <c r="I38" s="157">
        <f>(('00参数面板'!$C$36/'00参数面板'!$E$36)*'00参数面板'!$C$42)/'00参数面板'!$C$36</f>
        <v/>
      </c>
      <c r="J38" s="159">
        <f>'00参数面板'!$F$36</f>
        <v/>
      </c>
      <c r="K38" s="158">
        <f>'00参数面板'!$F$36*30</f>
        <v/>
      </c>
      <c r="L38" s="158">
        <f>'00参数面板'!$H$36*'00参数面板'!$C$42</f>
        <v/>
      </c>
      <c r="M38" s="158">
        <f>(('00参数面板'!$C$36/'00参数面板'!$E$36)*'00参数面板'!$C$42)+('00参数面板'!$F$36*30)+('00参数面板'!$H$36*'00参数面板'!$C$42)</f>
        <v/>
      </c>
      <c r="N38" s="157">
        <f>((('00参数面板'!$C$36/'00参数面板'!$E$36)*'00参数面板'!$C$42)+('00参数面板'!$F$36*30)+('00参数面板'!$H$36*'00参数面板'!$C$42))/'00参数面板'!$C$36</f>
        <v/>
      </c>
      <c r="O38" s="153">
        <f>'00参数面板'!$B$42</f>
        <v/>
      </c>
    </row>
    <row r="39" ht="21" customHeight="1">
      <c r="A39" s="160">
        <f>'00参数面板'!$A$36</f>
        <v/>
      </c>
      <c r="B39" s="161">
        <f>'00参数面板'!$C$36</f>
        <v/>
      </c>
      <c r="C39" s="162">
        <f>'00参数面板'!$E$36</f>
        <v/>
      </c>
      <c r="D39" s="163">
        <f>'00参数面板'!$C$36/'00参数面板'!$E$36</f>
        <v/>
      </c>
      <c r="E39" s="160">
        <f>'00参数面板'!$A$43</f>
        <v/>
      </c>
      <c r="F39" s="162">
        <f>'00参数面板'!$C$43</f>
        <v/>
      </c>
      <c r="G39" s="164">
        <f>'00参数面板'!$C$43/'00参数面板'!$C$41</f>
        <v/>
      </c>
      <c r="H39" s="165">
        <f>('00参数面板'!$C$36/'00参数面板'!$E$36)*'00参数面板'!$C$43</f>
        <v/>
      </c>
      <c r="I39" s="164">
        <f>(('00参数面板'!$C$36/'00参数面板'!$E$36)*'00参数面板'!$C$43)/'00参数面板'!$C$36</f>
        <v/>
      </c>
      <c r="J39" s="166">
        <f>'00参数面板'!$F$36</f>
        <v/>
      </c>
      <c r="K39" s="165">
        <f>'00参数面板'!$F$36*30</f>
        <v/>
      </c>
      <c r="L39" s="165">
        <f>'00参数面板'!$H$36*'00参数面板'!$C$43</f>
        <v/>
      </c>
      <c r="M39" s="165">
        <f>(('00参数面板'!$C$36/'00参数面板'!$E$36)*'00参数面板'!$C$43)+('00参数面板'!$F$36*30)+('00参数面板'!$H$36*'00参数面板'!$C$43)</f>
        <v/>
      </c>
      <c r="N39" s="164">
        <f>((('00参数面板'!$C$36/'00参数面板'!$E$36)*'00参数面板'!$C$43)+('00参数面板'!$F$36*30)+('00参数面板'!$H$36*'00参数面板'!$C$43))/'00参数面板'!$C$36</f>
        <v/>
      </c>
      <c r="O39" s="160">
        <f>'00参数面板'!$B$43</f>
        <v/>
      </c>
    </row>
    <row r="40" ht="21" customHeight="1">
      <c r="A40" s="167">
        <f>'00参数面板'!$A$36</f>
        <v/>
      </c>
      <c r="B40" s="168">
        <f>'00参数面板'!$C$36</f>
        <v/>
      </c>
      <c r="C40" s="169">
        <f>'00参数面板'!$E$36</f>
        <v/>
      </c>
      <c r="D40" s="170">
        <f>'00参数面板'!$C$36/'00参数面板'!$E$36</f>
        <v/>
      </c>
      <c r="E40" s="167">
        <f>'00参数面板'!$A$44</f>
        <v/>
      </c>
      <c r="F40" s="169">
        <f>'00参数面板'!$C$44</f>
        <v/>
      </c>
      <c r="G40" s="171">
        <f>'00参数面板'!$C$44/'00参数面板'!$C$41</f>
        <v/>
      </c>
      <c r="H40" s="172">
        <f>('00参数面板'!$C$36/'00参数面板'!$E$36)*'00参数面板'!$C$44</f>
        <v/>
      </c>
      <c r="I40" s="171">
        <f>(('00参数面板'!$C$36/'00参数面板'!$E$36)*'00参数面板'!$C$44)/'00参数面板'!$C$36</f>
        <v/>
      </c>
      <c r="J40" s="173">
        <f>'00参数面板'!$F$36</f>
        <v/>
      </c>
      <c r="K40" s="172">
        <f>'00参数面板'!$F$36*30</f>
        <v/>
      </c>
      <c r="L40" s="172">
        <f>'00参数面板'!$H$36*'00参数面板'!$C$44</f>
        <v/>
      </c>
      <c r="M40" s="172">
        <f>(('00参数面板'!$C$36/'00参数面板'!$E$36)*'00参数面板'!$C$44)+('00参数面板'!$F$36*30)+('00参数面板'!$H$36*'00参数面板'!$C$44)</f>
        <v/>
      </c>
      <c r="N40" s="171">
        <f>((('00参数面板'!$C$36/'00参数面板'!$E$36)*'00参数面板'!$C$44)+('00参数面板'!$F$36*30)+('00参数面板'!$H$36*'00参数面板'!$C$44))/'00参数面板'!$C$36</f>
        <v/>
      </c>
      <c r="O40" s="167">
        <f>'00参数面板'!$B$44</f>
        <v/>
      </c>
    </row>
    <row r="41" ht="21" customHeight="1">
      <c r="A41" s="174">
        <f>'00参数面板'!$A$36</f>
        <v/>
      </c>
      <c r="B41" s="175">
        <f>'00参数面板'!$C$36</f>
        <v/>
      </c>
      <c r="C41" s="176">
        <f>'00参数面板'!$E$36</f>
        <v/>
      </c>
      <c r="D41" s="177">
        <f>'00参数面板'!$C$36/'00参数面板'!$E$36</f>
        <v/>
      </c>
      <c r="E41" s="174">
        <f>'00参数面板'!$A$45</f>
        <v/>
      </c>
      <c r="F41" s="50">
        <f>'00参数面板'!$C$45</f>
        <v/>
      </c>
      <c r="G41" s="178">
        <f>'00参数面板'!$C$45/'00参数面板'!$C$41</f>
        <v/>
      </c>
      <c r="H41" s="179">
        <f>('00参数面板'!$C$36/'00参数面板'!$E$36)*'00参数面板'!$C$45</f>
        <v/>
      </c>
      <c r="I41" s="178">
        <f>(('00参数面板'!$C$36/'00参数面板'!$E$36)*'00参数面板'!$C$45)/'00参数面板'!$C$36</f>
        <v/>
      </c>
      <c r="J41" s="180">
        <f>'00参数面板'!$F$36</f>
        <v/>
      </c>
      <c r="K41" s="179">
        <f>'00参数面板'!$F$36*30</f>
        <v/>
      </c>
      <c r="L41" s="179">
        <f>'00参数面板'!$H$36*'00参数面板'!$C$45</f>
        <v/>
      </c>
      <c r="M41" s="179">
        <f>(('00参数面板'!$C$36/'00参数面板'!$E$36)*'00参数面板'!$C$45)+('00参数面板'!$F$36*30)+('00参数面板'!$H$36*'00参数面板'!$C$45)</f>
        <v/>
      </c>
      <c r="N41" s="178">
        <f>((('00参数面板'!$C$36/'00参数面板'!$E$36)*'00参数面板'!$C$45)+('00参数面板'!$F$36*30)+('00参数面板'!$H$36*'00参数面板'!$C$45))/'00参数面板'!$C$36</f>
        <v/>
      </c>
      <c r="O41" s="174">
        <f>'00参数面板'!$B$45</f>
        <v/>
      </c>
    </row>
    <row r="42" ht="21" customHeight="1">
      <c r="A42" s="181">
        <f>'00参数面板'!$A$36</f>
        <v/>
      </c>
      <c r="B42" s="182">
        <f>'00参数面板'!$C$36</f>
        <v/>
      </c>
      <c r="C42" s="183">
        <f>'00参数面板'!$E$36</f>
        <v/>
      </c>
      <c r="D42" s="184">
        <f>'00参数面板'!$C$36/'00参数面板'!$E$36</f>
        <v/>
      </c>
      <c r="E42" s="181">
        <f>'00参数面板'!$A$46</f>
        <v/>
      </c>
      <c r="F42" s="50">
        <f>'00参数面板'!$C$46</f>
        <v/>
      </c>
      <c r="G42" s="185">
        <f>'00参数面板'!$C$46/'00参数面板'!$C$41</f>
        <v/>
      </c>
      <c r="H42" s="186">
        <f>('00参数面板'!$C$36/'00参数面板'!$E$36)*'00参数面板'!$C$46</f>
        <v/>
      </c>
      <c r="I42" s="185">
        <f>(('00参数面板'!$C$36/'00参数面板'!$E$36)*'00参数面板'!$C$46)/'00参数面板'!$C$36</f>
        <v/>
      </c>
      <c r="J42" s="187">
        <f>'00参数面板'!$F$36</f>
        <v/>
      </c>
      <c r="K42" s="186">
        <f>'00参数面板'!$F$36*30</f>
        <v/>
      </c>
      <c r="L42" s="186">
        <f>'00参数面板'!$H$36*'00参数面板'!$C$46</f>
        <v/>
      </c>
      <c r="M42" s="186">
        <f>(('00参数面板'!$C$36/'00参数面板'!$E$36)*'00参数面板'!$C$46)+('00参数面板'!$F$36*30)+('00参数面板'!$H$36*'00参数面板'!$C$46)</f>
        <v/>
      </c>
      <c r="N42" s="185">
        <f>((('00参数面板'!$C$36/'00参数面板'!$E$36)*'00参数面板'!$C$46)+('00参数面板'!$F$36*30)+('00参数面板'!$H$36*'00参数面板'!$C$46))/'00参数面板'!$C$36</f>
        <v/>
      </c>
      <c r="O42" s="181">
        <f>'00参数面板'!$B$46</f>
        <v/>
      </c>
    </row>
    <row r="43" ht="4" customHeight="1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</row>
    <row r="44" ht="10" customHeight="1"/>
    <row r="45" ht="26" customHeight="1">
      <c r="A45" s="188" t="inlineStr">
        <is>
          <t>③ 图表数据（各节点总资产 × 价格阶段）</t>
        </is>
      </c>
      <c r="B45" s="296" t="n"/>
      <c r="C45" s="296" t="n"/>
      <c r="D45" s="296" t="n"/>
      <c r="E45" s="296" t="n"/>
      <c r="F45" s="296" t="n"/>
      <c r="G45" s="296" t="n"/>
      <c r="H45" s="297" t="n"/>
    </row>
    <row r="46" ht="28" customHeight="1">
      <c r="A46" s="189" t="inlineStr">
        <is>
          <t>节点\阶段</t>
        </is>
      </c>
      <c r="B46" s="189">
        <f>'00参数面板'!$A$41</f>
        <v/>
      </c>
      <c r="C46" s="189">
        <f>'00参数面板'!$A$42</f>
        <v/>
      </c>
      <c r="D46" s="189">
        <f>'00参数面板'!$A$43</f>
        <v/>
      </c>
      <c r="E46" s="189">
        <f>'00参数面板'!$A$44</f>
        <v/>
      </c>
      <c r="F46" s="189">
        <f>'00参数面板'!$A$45</f>
        <v/>
      </c>
      <c r="G46" s="189">
        <f>'00参数面板'!$A$46</f>
        <v/>
      </c>
    </row>
    <row r="47" ht="20" customHeight="1">
      <c r="A47" s="189">
        <f>'00参数面板'!$A$33</f>
        <v/>
      </c>
      <c r="B47" s="190">
        <f>M16</f>
        <v/>
      </c>
      <c r="C47" s="190">
        <f>M17</f>
        <v/>
      </c>
      <c r="D47" s="190">
        <f>M18</f>
        <v/>
      </c>
      <c r="E47" s="190">
        <f>M19</f>
        <v/>
      </c>
      <c r="F47" s="190">
        <f>M20</f>
        <v/>
      </c>
      <c r="G47" s="190">
        <f>M21</f>
        <v/>
      </c>
    </row>
    <row r="48" ht="20" customHeight="1">
      <c r="A48" s="189">
        <f>'00参数面板'!$A$34</f>
        <v/>
      </c>
      <c r="B48" s="190">
        <f>M23</f>
        <v/>
      </c>
      <c r="C48" s="190">
        <f>M24</f>
        <v/>
      </c>
      <c r="D48" s="190">
        <f>M25</f>
        <v/>
      </c>
      <c r="E48" s="190">
        <f>M26</f>
        <v/>
      </c>
      <c r="F48" s="190">
        <f>M27</f>
        <v/>
      </c>
      <c r="G48" s="190">
        <f>M28</f>
        <v/>
      </c>
    </row>
    <row r="49" ht="20" customHeight="1">
      <c r="A49" s="189">
        <f>'00参数面板'!$A$35</f>
        <v/>
      </c>
      <c r="B49" s="190">
        <f>M30</f>
        <v/>
      </c>
      <c r="C49" s="190">
        <f>M31</f>
        <v/>
      </c>
      <c r="D49" s="190">
        <f>M32</f>
        <v/>
      </c>
      <c r="E49" s="190">
        <f>M33</f>
        <v/>
      </c>
      <c r="F49" s="190">
        <f>M34</f>
        <v/>
      </c>
      <c r="G49" s="190">
        <f>M35</f>
        <v/>
      </c>
    </row>
    <row r="50" ht="20" customHeight="1">
      <c r="A50" s="189">
        <f>'00参数面板'!$A$36</f>
        <v/>
      </c>
      <c r="B50" s="190">
        <f>M37</f>
        <v/>
      </c>
      <c r="C50" s="190">
        <f>M38</f>
        <v/>
      </c>
      <c r="D50" s="190">
        <f>M39</f>
        <v/>
      </c>
      <c r="E50" s="190">
        <f>M40</f>
        <v/>
      </c>
      <c r="F50" s="190">
        <f>M41</f>
        <v/>
      </c>
      <c r="G50" s="190">
        <f>M42</f>
        <v/>
      </c>
    </row>
  </sheetData>
  <mergeCells count="8">
    <mergeCell ref="D2:F2"/>
    <mergeCell ref="A14:O14"/>
    <mergeCell ref="K2:O2"/>
    <mergeCell ref="A1:O1"/>
    <mergeCell ref="G2:J2"/>
    <mergeCell ref="A45:H45"/>
    <mergeCell ref="A4:O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44" customHeight="1">
      <c r="A1" s="1" t="inlineStr">
        <is>
          <t>子TOKEN（符火）价格走势 × 通缩模型 × 节点关系分析</t>
        </is>
      </c>
      <c r="B1" s="296" t="n"/>
      <c r="C1" s="296" t="n"/>
      <c r="D1" s="296" t="n"/>
      <c r="E1" s="296" t="n"/>
      <c r="F1" s="296" t="n"/>
      <c r="G1" s="296" t="n"/>
      <c r="H1" s="296" t="n"/>
      <c r="I1" s="296" t="n"/>
      <c r="J1" s="296" t="n"/>
      <c r="K1" s="297" t="n"/>
    </row>
    <row r="2" ht="22" customHeight="1">
      <c r="A2" s="2" t="inlineStr">
        <is>
          <t>🔒 固定常量</t>
        </is>
      </c>
      <c r="B2" s="296" t="n"/>
      <c r="C2" s="297" t="n"/>
      <c r="D2" s="3" t="inlineStr">
        <is>
          <t>📝 可变输入</t>
        </is>
      </c>
      <c r="E2" s="296" t="n"/>
      <c r="F2" s="297" t="n"/>
      <c r="G2" s="4" t="inlineStr">
        <is>
          <t>📊 计算结果（公式联动）</t>
        </is>
      </c>
      <c r="H2" s="296" t="n"/>
      <c r="I2" s="297" t="n"/>
      <c r="J2" s="7" t="inlineStr">
        <is>
          <t>修改参数面板D28/D29 → 本表自动更新</t>
        </is>
      </c>
      <c r="K2" s="297" t="n"/>
    </row>
    <row r="3" ht="10" customHeight="1"/>
    <row r="4" ht="26" customHeight="1">
      <c r="A4" s="6" t="inlineStr">
        <is>
          <t>① 子TOKEN月度通缩进程（公式：初始量×(1-燃烧率)^天数）</t>
        </is>
      </c>
      <c r="B4" s="296" t="n"/>
      <c r="C4" s="296" t="n"/>
      <c r="D4" s="296" t="n"/>
      <c r="E4" s="296" t="n"/>
      <c r="F4" s="296" t="n"/>
      <c r="G4" s="296" t="n"/>
      <c r="H4" s="296" t="n"/>
      <c r="I4" s="296" t="n"/>
      <c r="J4" s="296" t="n"/>
      <c r="K4" s="297" t="n"/>
    </row>
    <row r="5" ht="24" customHeight="1">
      <c r="A5" s="7" t="inlineStr">
        <is>
          <t>月份</t>
        </is>
      </c>
      <c r="B5" s="7" t="inlineStr">
        <is>
          <t>天数</t>
        </is>
      </c>
      <c r="C5" s="7" t="inlineStr">
        <is>
          <t>流通量(枚)</t>
        </is>
      </c>
      <c r="D5" s="7" t="inlineStr">
        <is>
          <t>流通占比(%)</t>
        </is>
      </c>
      <c r="E5" s="7" t="inlineStr">
        <is>
          <t>当月燃烧(枚)</t>
        </is>
      </c>
      <c r="F5" s="7" t="inlineStr">
        <is>
          <t>累计燃烧(枚)</t>
        </is>
      </c>
      <c r="G5" s="7" t="inlineStr">
        <is>
          <t>累计燃烧%</t>
        </is>
      </c>
      <c r="H5" s="7" t="inlineStr">
        <is>
          <t>通缩驱动指数</t>
        </is>
      </c>
      <c r="I5" s="7" t="inlineStr">
        <is>
          <t>子币支撑价($)低</t>
        </is>
      </c>
      <c r="J5" s="7" t="inlineStr">
        <is>
          <t>子币支撑价($)高</t>
        </is>
      </c>
      <c r="K5" s="7" t="inlineStr">
        <is>
          <t>备注</t>
        </is>
      </c>
    </row>
    <row r="6" ht="20" customHeight="1">
      <c r="A6" s="2" t="inlineStr">
        <is>
          <t>初始</t>
        </is>
      </c>
      <c r="B6" s="8" t="n">
        <v>0</v>
      </c>
      <c r="C6" s="16">
        <f>'00参数面板'!$C$27*(1-'00参数面板'!$C$26)^0</f>
        <v/>
      </c>
      <c r="D6" s="9">
        <f>('00参数面板'!$C$27*(1-'00参数面板'!$C$26)^0)/'00参数面板'!$C$27</f>
        <v/>
      </c>
      <c r="E6" s="16" t="n">
        <v>0</v>
      </c>
      <c r="F6" s="16">
        <f>'00参数面板'!$C$27-('00参数面板'!$C$27*(1-'00参数面板'!$C$26)^0)</f>
        <v/>
      </c>
      <c r="G6" s="9">
        <f>('00参数面板'!$C$27-('00参数面板'!$C$27*(1-'00参数面板'!$C$26)^0))/'00参数面板'!$C$27</f>
        <v/>
      </c>
      <c r="H6" s="191">
        <f>1/(('00参数面板'!$C$27*(1-'00参数面板'!$C$26)^0)/'00参数面板'!$C$27)</f>
        <v/>
      </c>
      <c r="I6" s="192">
        <f>'00参数面板'!$C$25*(1/(('00参数面板'!$C$27*(1-'00参数面板'!$C$26)^0)/'00参数面板'!$C$27))*0.8</f>
        <v/>
      </c>
      <c r="J6" s="192">
        <f>'00参数面板'!$C$25*(1/(('00参数面板'!$C$27*(1-'00参数面板'!$C$26)^0)/'00参数面板'!$C$27))*1.2</f>
        <v/>
      </c>
      <c r="K6" s="11" t="inlineStr">
        <is>
          <t>流通量=13,100,000枚</t>
        </is>
      </c>
    </row>
    <row r="7" ht="20" customHeight="1">
      <c r="A7" s="2" t="inlineStr">
        <is>
          <t>第1月</t>
        </is>
      </c>
      <c r="B7" s="8" t="n">
        <v>30</v>
      </c>
      <c r="C7" s="16">
        <f>'00参数面板'!$C$27*(1-'00参数面板'!$C$26)^30</f>
        <v/>
      </c>
      <c r="D7" s="9">
        <f>('00参数面板'!$C$27*(1-'00参数面板'!$C$26)^30)/'00参数面板'!$C$27</f>
        <v/>
      </c>
      <c r="E7" s="16">
        <f>C6-C7</f>
        <v/>
      </c>
      <c r="F7" s="16">
        <f>'00参数面板'!$C$27-('00参数面板'!$C$27*(1-'00参数面板'!$C$26)^30)</f>
        <v/>
      </c>
      <c r="G7" s="9">
        <f>('00参数面板'!$C$27-('00参数面板'!$C$27*(1-'00参数面板'!$C$26)^30))/'00参数面板'!$C$27</f>
        <v/>
      </c>
      <c r="H7" s="191">
        <f>1/(('00参数面板'!$C$27*(1-'00参数面板'!$C$26)^30)/'00参数面板'!$C$27)</f>
        <v/>
      </c>
      <c r="I7" s="192">
        <f>'00参数面板'!$C$25*(1/(('00参数面板'!$C$27*(1-'00参数面板'!$C$26)^30)/'00参数面板'!$C$27))*0.8</f>
        <v/>
      </c>
      <c r="J7" s="192">
        <f>'00参数面板'!$C$25*(1/(('00参数面板'!$C$27*(1-'00参数面板'!$C$26)^30)/'00参数面板'!$C$27))*1.2</f>
        <v/>
      </c>
      <c r="K7" s="11" t="inlineStr">
        <is>
          <t>流通量=12,336,374枚</t>
        </is>
      </c>
    </row>
    <row r="8" ht="20" customHeight="1">
      <c r="A8" s="2" t="inlineStr">
        <is>
          <t>第2月</t>
        </is>
      </c>
      <c r="B8" s="8" t="n">
        <v>60</v>
      </c>
      <c r="C8" s="16">
        <f>'00参数面板'!$C$27*(1-'00参数面板'!$C$26)^60</f>
        <v/>
      </c>
      <c r="D8" s="9">
        <f>('00参数面板'!$C$27*(1-'00参数面板'!$C$26)^60)/'00参数面板'!$C$27</f>
        <v/>
      </c>
      <c r="E8" s="16">
        <f>C7-C8</f>
        <v/>
      </c>
      <c r="F8" s="16">
        <f>'00参数面板'!$C$27-('00参数面板'!$C$27*(1-'00参数面板'!$C$26)^60)</f>
        <v/>
      </c>
      <c r="G8" s="9">
        <f>('00参数面板'!$C$27-('00参数面板'!$C$27*(1-'00参数面板'!$C$26)^60))/'00参数面板'!$C$27</f>
        <v/>
      </c>
      <c r="H8" s="191">
        <f>1/(('00参数面板'!$C$27*(1-'00参数面板'!$C$26)^60)/'00参数面板'!$C$27)</f>
        <v/>
      </c>
      <c r="I8" s="192">
        <f>'00参数面板'!$C$25*(1/(('00参数面板'!$C$27*(1-'00参数面板'!$C$26)^60)/'00参数面板'!$C$27))*0.8</f>
        <v/>
      </c>
      <c r="J8" s="192">
        <f>'00参数面板'!$C$25*(1/(('00参数面板'!$C$27*(1-'00参数面板'!$C$26)^60)/'00参数面板'!$C$27))*1.2</f>
        <v/>
      </c>
      <c r="K8" s="11" t="inlineStr">
        <is>
          <t>流通量=11,617,261枚</t>
        </is>
      </c>
    </row>
    <row r="9" ht="20" customHeight="1">
      <c r="A9" s="2" t="inlineStr">
        <is>
          <t>第3月</t>
        </is>
      </c>
      <c r="B9" s="8" t="n">
        <v>90</v>
      </c>
      <c r="C9" s="16">
        <f>'00参数面板'!$C$27*(1-'00参数面板'!$C$26)^90</f>
        <v/>
      </c>
      <c r="D9" s="9">
        <f>('00参数面板'!$C$27*(1-'00参数面板'!$C$26)^90)/'00参数面板'!$C$27</f>
        <v/>
      </c>
      <c r="E9" s="16">
        <f>C8-C9</f>
        <v/>
      </c>
      <c r="F9" s="16">
        <f>'00参数面板'!$C$27-('00参数面板'!$C$27*(1-'00参数面板'!$C$26)^90)</f>
        <v/>
      </c>
      <c r="G9" s="9">
        <f>('00参数面板'!$C$27-('00参数面板'!$C$27*(1-'00参数面板'!$C$26)^90))/'00参数面板'!$C$27</f>
        <v/>
      </c>
      <c r="H9" s="191">
        <f>1/(('00参数面板'!$C$27*(1-'00参数面板'!$C$26)^90)/'00参数面板'!$C$27)</f>
        <v/>
      </c>
      <c r="I9" s="192">
        <f>'00参数面板'!$C$25*(1/(('00参数面板'!$C$27*(1-'00参数面板'!$C$26)^90)/'00参数面板'!$C$27))*0.8</f>
        <v/>
      </c>
      <c r="J9" s="192">
        <f>'00参数面板'!$C$25*(1/(('00参数面板'!$C$27*(1-'00参数面板'!$C$26)^90)/'00参数面板'!$C$27))*1.2</f>
        <v/>
      </c>
      <c r="K9" s="11" t="inlineStr">
        <is>
          <t>流通量=10,940,067枚</t>
        </is>
      </c>
    </row>
    <row r="10" ht="20" customHeight="1">
      <c r="A10" s="2" t="inlineStr">
        <is>
          <t>第4月</t>
        </is>
      </c>
      <c r="B10" s="8" t="n">
        <v>120</v>
      </c>
      <c r="C10" s="16">
        <f>'00参数面板'!$C$27*(1-'00参数面板'!$C$26)^120</f>
        <v/>
      </c>
      <c r="D10" s="9">
        <f>('00参数面板'!$C$27*(1-'00参数面板'!$C$26)^120)/'00参数面板'!$C$27</f>
        <v/>
      </c>
      <c r="E10" s="16">
        <f>C9-C10</f>
        <v/>
      </c>
      <c r="F10" s="16">
        <f>'00参数面板'!$C$27-('00参数面板'!$C$27*(1-'00参数面板'!$C$26)^120)</f>
        <v/>
      </c>
      <c r="G10" s="9">
        <f>('00参数面板'!$C$27-('00参数面板'!$C$27*(1-'00参数面板'!$C$26)^120))/'00参数面板'!$C$27</f>
        <v/>
      </c>
      <c r="H10" s="191">
        <f>1/(('00参数面板'!$C$27*(1-'00参数面板'!$C$26)^120)/'00参数面板'!$C$27)</f>
        <v/>
      </c>
      <c r="I10" s="192">
        <f>'00参数面板'!$C$25*(1/(('00参数面板'!$C$27*(1-'00参数面板'!$C$26)^120)/'00参数面板'!$C$27))*0.8</f>
        <v/>
      </c>
      <c r="J10" s="192">
        <f>'00参数面板'!$C$25*(1/(('00参数面板'!$C$27*(1-'00参数面板'!$C$26)^120)/'00参数面板'!$C$27))*1.2</f>
        <v/>
      </c>
      <c r="K10" s="11" t="inlineStr">
        <is>
          <t>流通量=10,302,348枚</t>
        </is>
      </c>
    </row>
    <row r="11" ht="20" customHeight="1">
      <c r="A11" s="2" t="inlineStr">
        <is>
          <t>第5月</t>
        </is>
      </c>
      <c r="B11" s="8" t="n">
        <v>150</v>
      </c>
      <c r="C11" s="16">
        <f>'00参数面板'!$C$27*(1-'00参数面板'!$C$26)^150</f>
        <v/>
      </c>
      <c r="D11" s="9">
        <f>('00参数面板'!$C$27*(1-'00参数面板'!$C$26)^150)/'00参数面板'!$C$27</f>
        <v/>
      </c>
      <c r="E11" s="16">
        <f>C10-C11</f>
        <v/>
      </c>
      <c r="F11" s="16">
        <f>'00参数面板'!$C$27-('00参数面板'!$C$27*(1-'00参数面板'!$C$26)^150)</f>
        <v/>
      </c>
      <c r="G11" s="9">
        <f>('00参数面板'!$C$27-('00参数面板'!$C$27*(1-'00参数面板'!$C$26)^150))/'00参数面板'!$C$27</f>
        <v/>
      </c>
      <c r="H11" s="191">
        <f>1/(('00参数面板'!$C$27*(1-'00参数面板'!$C$26)^150)/'00参数面板'!$C$27)</f>
        <v/>
      </c>
      <c r="I11" s="192">
        <f>'00参数面板'!$C$25*(1/(('00参数面板'!$C$27*(1-'00参数面板'!$C$26)^150)/'00参数面板'!$C$27))*0.8</f>
        <v/>
      </c>
      <c r="J11" s="192">
        <f>'00参数面板'!$C$25*(1/(('00参数面板'!$C$27*(1-'00参数面板'!$C$26)^150)/'00参数面板'!$C$27))*1.2</f>
        <v/>
      </c>
      <c r="K11" s="11" t="inlineStr">
        <is>
          <t>流通量=9,701,803枚</t>
        </is>
      </c>
    </row>
    <row r="12" ht="20" customHeight="1">
      <c r="A12" s="2" t="inlineStr">
        <is>
          <t>第6月</t>
        </is>
      </c>
      <c r="B12" s="8" t="n">
        <v>180</v>
      </c>
      <c r="C12" s="16">
        <f>'00参数面板'!$C$27*(1-'00参数面板'!$C$26)^180</f>
        <v/>
      </c>
      <c r="D12" s="9">
        <f>('00参数面板'!$C$27*(1-'00参数面板'!$C$26)^180)/'00参数面板'!$C$27</f>
        <v/>
      </c>
      <c r="E12" s="16">
        <f>C11-C12</f>
        <v/>
      </c>
      <c r="F12" s="16">
        <f>'00参数面板'!$C$27-('00参数面板'!$C$27*(1-'00参数面板'!$C$26)^180)</f>
        <v/>
      </c>
      <c r="G12" s="9">
        <f>('00参数面板'!$C$27-('00参数面板'!$C$27*(1-'00参数面板'!$C$26)^180))/'00参数面板'!$C$27</f>
        <v/>
      </c>
      <c r="H12" s="191">
        <f>1/(('00参数面板'!$C$27*(1-'00参数面板'!$C$26)^180)/'00参数面板'!$C$27)</f>
        <v/>
      </c>
      <c r="I12" s="192">
        <f>'00参数面板'!$C$25*(1/(('00参数面板'!$C$27*(1-'00参数面板'!$C$26)^180)/'00参数面板'!$C$27))*0.8</f>
        <v/>
      </c>
      <c r="J12" s="192">
        <f>'00参数面板'!$C$25*(1/(('00参数面板'!$C$27*(1-'00参数面板'!$C$26)^180)/'00参数面板'!$C$27))*1.2</f>
        <v/>
      </c>
      <c r="K12" s="11" t="inlineStr">
        <is>
          <t>流通量=9,136,265枚</t>
        </is>
      </c>
    </row>
    <row r="13" ht="20" customHeight="1">
      <c r="A13" s="2" t="inlineStr">
        <is>
          <t>第9月</t>
        </is>
      </c>
      <c r="B13" s="8" t="n">
        <v>270</v>
      </c>
      <c r="C13" s="16">
        <f>'00参数面板'!$C$27*(1-'00参数面板'!$C$26)^270</f>
        <v/>
      </c>
      <c r="D13" s="9">
        <f>('00参数面板'!$C$27*(1-'00参数面板'!$C$26)^270)/'00参数面板'!$C$27</f>
        <v/>
      </c>
      <c r="E13" s="16">
        <f>C12-C13</f>
        <v/>
      </c>
      <c r="F13" s="16">
        <f>'00参数面板'!$C$27-('00参数面板'!$C$27*(1-'00参数面板'!$C$26)^270)</f>
        <v/>
      </c>
      <c r="G13" s="9">
        <f>('00参数面板'!$C$27-('00参数面板'!$C$27*(1-'00参数面板'!$C$26)^270))/'00参数面板'!$C$27</f>
        <v/>
      </c>
      <c r="H13" s="191">
        <f>1/(('00参数面板'!$C$27*(1-'00参数面板'!$C$26)^270)/'00参数面板'!$C$27)</f>
        <v/>
      </c>
      <c r="I13" s="192">
        <f>'00参数面板'!$C$25*(1/(('00参数面板'!$C$27*(1-'00参数面板'!$C$26)^270)/'00参数面板'!$C$27))*0.8</f>
        <v/>
      </c>
      <c r="J13" s="192">
        <f>'00参数面板'!$C$25*(1/(('00参数面板'!$C$27*(1-'00参数面板'!$C$26)^270)/'00参数面板'!$C$27))*1.2</f>
        <v/>
      </c>
      <c r="K13" s="11" t="inlineStr">
        <is>
          <t>流通量=7,629,875枚</t>
        </is>
      </c>
    </row>
    <row r="14" ht="20" customHeight="1">
      <c r="A14" s="2" t="inlineStr">
        <is>
          <t>第12月</t>
        </is>
      </c>
      <c r="B14" s="8" t="n">
        <v>360</v>
      </c>
      <c r="C14" s="16">
        <f>'00参数面板'!$C$27*(1-'00参数面板'!$C$26)^360</f>
        <v/>
      </c>
      <c r="D14" s="9">
        <f>('00参数面板'!$C$27*(1-'00参数面板'!$C$26)^360)/'00参数面板'!$C$27</f>
        <v/>
      </c>
      <c r="E14" s="16">
        <f>C13-C14</f>
        <v/>
      </c>
      <c r="F14" s="16">
        <f>'00参数面板'!$C$27-('00参数面板'!$C$27*(1-'00参数面板'!$C$26)^360)</f>
        <v/>
      </c>
      <c r="G14" s="9">
        <f>('00参数面板'!$C$27-('00参数面板'!$C$27*(1-'00参数面板'!$C$26)^360))/'00参数面板'!$C$27</f>
        <v/>
      </c>
      <c r="H14" s="191">
        <f>1/(('00参数面板'!$C$27*(1-'00参数面板'!$C$26)^360)/'00参数面板'!$C$27)</f>
        <v/>
      </c>
      <c r="I14" s="192">
        <f>'00参数面板'!$C$25*(1/(('00参数面板'!$C$27*(1-'00参数面板'!$C$26)^360)/'00参数面板'!$C$27))*0.8</f>
        <v/>
      </c>
      <c r="J14" s="192">
        <f>'00参数面板'!$C$25*(1/(('00参数面板'!$C$27*(1-'00参数面板'!$C$26)^360)/'00参数面板'!$C$27))*1.2</f>
        <v/>
      </c>
      <c r="K14" s="11" t="inlineStr">
        <is>
          <t>流通量=6,371,859枚</t>
        </is>
      </c>
    </row>
    <row r="15" ht="20" customHeight="1">
      <c r="A15" s="2" t="inlineStr">
        <is>
          <t>第15月</t>
        </is>
      </c>
      <c r="B15" s="8" t="n">
        <v>450</v>
      </c>
      <c r="C15" s="16">
        <f>'00参数面板'!$C$27*(1-'00参数面板'!$C$26)^450</f>
        <v/>
      </c>
      <c r="D15" s="9">
        <f>('00参数面板'!$C$27*(1-'00参数面板'!$C$26)^450)/'00参数面板'!$C$27</f>
        <v/>
      </c>
      <c r="E15" s="16">
        <f>C14-C15</f>
        <v/>
      </c>
      <c r="F15" s="16">
        <f>'00参数面板'!$C$27-('00参数面板'!$C$27*(1-'00参数面板'!$C$26)^450)</f>
        <v/>
      </c>
      <c r="G15" s="9">
        <f>('00参数面板'!$C$27-('00参数面板'!$C$27*(1-'00参数面板'!$C$26)^450))/'00参数面板'!$C$27</f>
        <v/>
      </c>
      <c r="H15" s="191">
        <f>1/(('00参数面板'!$C$27*(1-'00参数面板'!$C$26)^450)/'00参数面板'!$C$27)</f>
        <v/>
      </c>
      <c r="I15" s="192">
        <f>'00参数面板'!$C$25*(1/(('00参数面板'!$C$27*(1-'00参数面板'!$C$26)^450)/'00参数面板'!$C$27))*0.8</f>
        <v/>
      </c>
      <c r="J15" s="192">
        <f>'00参数面板'!$C$25*(1/(('00参数面板'!$C$27*(1-'00参数面板'!$C$26)^450)/'00参数面板'!$C$27))*1.2</f>
        <v/>
      </c>
      <c r="K15" s="11" t="inlineStr">
        <is>
          <t>流通量=5,321,264枚</t>
        </is>
      </c>
    </row>
    <row r="16" ht="20" customHeight="1">
      <c r="A16" s="2" t="inlineStr">
        <is>
          <t>第18月</t>
        </is>
      </c>
      <c r="B16" s="8" t="n">
        <v>540</v>
      </c>
      <c r="C16" s="16">
        <f>'00参数面板'!$C$27*(1-'00参数面板'!$C$26)^540</f>
        <v/>
      </c>
      <c r="D16" s="9">
        <f>('00参数面板'!$C$27*(1-'00参数面板'!$C$26)^540)/'00参数面板'!$C$27</f>
        <v/>
      </c>
      <c r="E16" s="16">
        <f>C15-C16</f>
        <v/>
      </c>
      <c r="F16" s="16">
        <f>'00参数面板'!$C$27-('00参数面板'!$C$27*(1-'00参数面板'!$C$26)^540)</f>
        <v/>
      </c>
      <c r="G16" s="9">
        <f>('00参数面板'!$C$27-('00参数面板'!$C$27*(1-'00参数面板'!$C$26)^540))/'00参数面板'!$C$27</f>
        <v/>
      </c>
      <c r="H16" s="191">
        <f>1/(('00参数面板'!$C$27*(1-'00参数面板'!$C$26)^540)/'00参数面板'!$C$27)</f>
        <v/>
      </c>
      <c r="I16" s="192">
        <f>'00参数面板'!$C$25*(1/(('00参数面板'!$C$27*(1-'00参数面板'!$C$26)^540)/'00参数面板'!$C$27))*0.8</f>
        <v/>
      </c>
      <c r="J16" s="192">
        <f>'00参数面板'!$C$25*(1/(('00参数面板'!$C$27*(1-'00参数面板'!$C$26)^540)/'00参数面板'!$C$27))*1.2</f>
        <v/>
      </c>
      <c r="K16" s="11" t="inlineStr">
        <is>
          <t>流通量=4,443,892枚</t>
        </is>
      </c>
    </row>
    <row r="17" ht="20" customHeight="1">
      <c r="A17" s="2" t="inlineStr">
        <is>
          <t>第21月</t>
        </is>
      </c>
      <c r="B17" s="8" t="n">
        <v>630</v>
      </c>
      <c r="C17" s="16">
        <f>'00参数面板'!$C$27*(1-'00参数面板'!$C$26)^630</f>
        <v/>
      </c>
      <c r="D17" s="9">
        <f>('00参数面板'!$C$27*(1-'00参数面板'!$C$26)^630)/'00参数面板'!$C$27</f>
        <v/>
      </c>
      <c r="E17" s="16">
        <f>C16-C17</f>
        <v/>
      </c>
      <c r="F17" s="16">
        <f>'00参数面板'!$C$27-('00参数面板'!$C$27*(1-'00参数面板'!$C$26)^630)</f>
        <v/>
      </c>
      <c r="G17" s="9">
        <f>('00参数面板'!$C$27-('00参数面板'!$C$27*(1-'00参数面板'!$C$26)^630))/'00参数面板'!$C$27</f>
        <v/>
      </c>
      <c r="H17" s="191">
        <f>1/(('00参数面板'!$C$27*(1-'00参数面板'!$C$26)^630)/'00参数面板'!$C$27)</f>
        <v/>
      </c>
      <c r="I17" s="192">
        <f>'00参数面板'!$C$25*(1/(('00参数面板'!$C$27*(1-'00参数面板'!$C$26)^630)/'00参数面板'!$C$27))*0.8</f>
        <v/>
      </c>
      <c r="J17" s="192">
        <f>'00参数面板'!$C$25*(1/(('00参数面板'!$C$27*(1-'00参数面板'!$C$26)^630)/'00参数面板'!$C$27))*1.2</f>
        <v/>
      </c>
      <c r="K17" s="11" t="inlineStr">
        <is>
          <t>流通量=3,711,182枚</t>
        </is>
      </c>
    </row>
    <row r="18" ht="20" customHeight="1">
      <c r="A18" s="2" t="inlineStr">
        <is>
          <t>第24月</t>
        </is>
      </c>
      <c r="B18" s="8" t="n">
        <v>720</v>
      </c>
      <c r="C18" s="16">
        <f>'00参数面板'!$C$27*(1-'00参数面板'!$C$26)^720</f>
        <v/>
      </c>
      <c r="D18" s="9">
        <f>('00参数面板'!$C$27*(1-'00参数面板'!$C$26)^720)/'00参数面板'!$C$27</f>
        <v/>
      </c>
      <c r="E18" s="16">
        <f>C17-C18</f>
        <v/>
      </c>
      <c r="F18" s="16">
        <f>'00参数面板'!$C$27-('00参数面板'!$C$27*(1-'00参数面板'!$C$26)^720)</f>
        <v/>
      </c>
      <c r="G18" s="9">
        <f>('00参数面板'!$C$27-('00参数面板'!$C$27*(1-'00参数面板'!$C$26)^720))/'00参数面板'!$C$27</f>
        <v/>
      </c>
      <c r="H18" s="191">
        <f>1/(('00参数面板'!$C$27*(1-'00参数面板'!$C$26)^720)/'00参数面板'!$C$27)</f>
        <v/>
      </c>
      <c r="I18" s="192">
        <f>'00参数面板'!$C$25*(1/(('00参数面板'!$C$27*(1-'00参数面板'!$C$26)^720)/'00参数面板'!$C$27))*0.8</f>
        <v/>
      </c>
      <c r="J18" s="192">
        <f>'00参数面板'!$C$25*(1/(('00参数面板'!$C$27*(1-'00参数面板'!$C$26)^720)/'00参数面板'!$C$27))*1.2</f>
        <v/>
      </c>
      <c r="K18" s="11" t="inlineStr">
        <is>
          <t>流通量=3,099,281枚</t>
        </is>
      </c>
    </row>
    <row r="21" ht="26" customHeight="1">
      <c r="A21" s="6" t="inlineStr">
        <is>
          <t>② 各节点 × 子TOKEN收益（打新额度+交易税分红，全公式联动）</t>
        </is>
      </c>
      <c r="B21" s="296" t="n"/>
      <c r="C21" s="296" t="n"/>
      <c r="D21" s="296" t="n"/>
      <c r="E21" s="296" t="n"/>
      <c r="F21" s="296" t="n"/>
      <c r="G21" s="296" t="n"/>
      <c r="H21" s="296" t="n"/>
      <c r="I21" s="296" t="n"/>
      <c r="J21" s="296" t="n"/>
      <c r="K21" s="297" t="n"/>
    </row>
    <row r="22" ht="36" customHeight="1">
      <c r="A22" s="7" t="inlineStr">
        <is>
          <t>节点</t>
        </is>
      </c>
      <c r="B22" s="7" t="inlineStr">
        <is>
          <t>权重</t>
        </is>
      </c>
      <c r="C22" s="7" t="inlineStr">
        <is>
          <t>权重占比(%)</t>
        </is>
      </c>
      <c r="D22" s="7" t="inlineStr">
        <is>
          <t>子币阶段</t>
        </is>
      </c>
      <c r="E22" s="7" t="inlineStr">
        <is>
          <t>子TOKEN价($)</t>
        </is>
      </c>
      <c r="F22" s="7" t="inlineStr">
        <is>
          <t>子币涨幅×</t>
        </is>
      </c>
      <c r="G22" s="7" t="inlineStr">
        <is>
          <t>打新额度/席(U)</t>
        </is>
      </c>
      <c r="H22" s="7" t="inlineStr">
        <is>
          <t>打新子TOKEN(枚)</t>
        </is>
      </c>
      <c r="I22" s="7" t="inlineStr">
        <is>
          <t>打新价值(U)</t>
        </is>
      </c>
      <c r="J22" s="7" t="inlineStr">
        <is>
          <t>月交易税分红/席(U)</t>
        </is>
      </c>
      <c r="K22" s="7" t="inlineStr">
        <is>
          <t>月子币综合收益(U)</t>
        </is>
      </c>
    </row>
    <row r="23" ht="21" customHeight="1">
      <c r="A23" s="18">
        <f>'00参数面板'!$A$33</f>
        <v/>
      </c>
      <c r="B23" s="193">
        <f>'00参数面板'!$G$33</f>
        <v/>
      </c>
      <c r="C23" s="194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3" s="18">
        <f>'00参数面板'!$A$41</f>
        <v/>
      </c>
      <c r="E23" s="20">
        <f>'00参数面板'!$D$41</f>
        <v/>
      </c>
      <c r="F23" s="22">
        <f>'00参数面板'!$D$41/'00参数面板'!$C$25</f>
        <v/>
      </c>
      <c r="G23" s="23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3" s="195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$41</f>
        <v/>
      </c>
      <c r="I23" s="23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3" s="23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3" s="23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4" ht="21" customHeight="1">
      <c r="A24" s="32">
        <f>'00参数面板'!$A$33</f>
        <v/>
      </c>
      <c r="B24" s="196">
        <f>'00参数面板'!$G$33</f>
        <v/>
      </c>
      <c r="C24" s="197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4" s="32">
        <f>'00参数面板'!$A$42</f>
        <v/>
      </c>
      <c r="E24" s="34">
        <f>'00参数面板'!$D$42</f>
        <v/>
      </c>
      <c r="F24" s="36">
        <f>'00参数面板'!$D$42/'00参数面板'!$C$25</f>
        <v/>
      </c>
      <c r="G24" s="37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4" s="198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$42</f>
        <v/>
      </c>
      <c r="I24" s="37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4" s="37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4" s="37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5" ht="21" customHeight="1">
      <c r="A25" s="39">
        <f>'00参数面板'!$A$33</f>
        <v/>
      </c>
      <c r="B25" s="199">
        <f>'00参数面板'!$G$33</f>
        <v/>
      </c>
      <c r="C25" s="200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5" s="39">
        <f>'00参数面板'!$A$43</f>
        <v/>
      </c>
      <c r="E25" s="41">
        <f>'00参数面板'!$D$43</f>
        <v/>
      </c>
      <c r="F25" s="43">
        <f>'00参数面板'!$D$43/'00参数面板'!$C$25</f>
        <v/>
      </c>
      <c r="G25" s="44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5" s="201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$43</f>
        <v/>
      </c>
      <c r="I25" s="44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5" s="44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5" s="44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6" ht="21" customHeight="1">
      <c r="A26" s="46">
        <f>'00参数面板'!$A$33</f>
        <v/>
      </c>
      <c r="B26" s="202">
        <f>'00参数面板'!$G$33</f>
        <v/>
      </c>
      <c r="C26" s="203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6" s="46">
        <f>'00参数面板'!$A$44</f>
        <v/>
      </c>
      <c r="E26" s="48">
        <f>'00参数面板'!$D$44</f>
        <v/>
      </c>
      <c r="F26" s="51">
        <f>'00参数面板'!$D$44/'00参数面板'!$C$25</f>
        <v/>
      </c>
      <c r="G26" s="52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6" s="204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$44</f>
        <v/>
      </c>
      <c r="I26" s="52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6" s="52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6" s="52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7" ht="21" customHeight="1">
      <c r="A27" s="54">
        <f>'00参数面板'!$A$33</f>
        <v/>
      </c>
      <c r="B27" s="205">
        <f>'00参数面板'!$G$33</f>
        <v/>
      </c>
      <c r="C27" s="206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7" s="54">
        <f>'00参数面板'!$A$45</f>
        <v/>
      </c>
      <c r="E27" s="50">
        <f>'00参数面板'!$D$45</f>
        <v/>
      </c>
      <c r="F27" s="58">
        <f>'00参数面板'!$D$45/'00参数面板'!$C$25</f>
        <v/>
      </c>
      <c r="G27" s="59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7" s="207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$45</f>
        <v/>
      </c>
      <c r="I27" s="59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7" s="59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7" s="59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8" ht="21" customHeight="1">
      <c r="A28" s="208">
        <f>'00参数面板'!$A$33</f>
        <v/>
      </c>
      <c r="B28" s="209">
        <f>'00参数面板'!$G$33</f>
        <v/>
      </c>
      <c r="C28" s="210">
        <f>('00参数面板'!$G$33*'00参数面板'!$D$33)/('00参数面板'!$D$33*'00参数面板'!$G$33+'00参数面板'!$D$34*'00参数面板'!$G$34+'00参数面板'!$D$35*'00参数面板'!$G$35+'00参数面板'!$D$36*'00参数面板'!$G$36)</f>
        <v/>
      </c>
      <c r="D28" s="208">
        <f>'00参数面板'!$A$46</f>
        <v/>
      </c>
      <c r="E28" s="50">
        <f>'00参数面板'!$D$46</f>
        <v/>
      </c>
      <c r="F28" s="211">
        <f>'00参数面板'!$D$46/'00参数面板'!$C$25</f>
        <v/>
      </c>
      <c r="G28" s="212">
        <f>500000*(('00参数面板'!$G$33*'00参数面板'!$D$33)/('00参数面板'!$D$33*'00参数面板'!$G$33+'00参数面板'!$D$34*'00参数面板'!$G$34+'00参数面板'!$D$35*'00参数面板'!$G$35+'00参数面板'!$D$36*'00参数面板'!$G$36))/'00参数面板'!$D$33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H28" s="213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'00参数面板'!$D$46</f>
        <v/>
      </c>
      <c r="I28" s="212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</f>
        <v/>
      </c>
      <c r="J28" s="212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K28" s="212">
        <f>(500000*(('00参数面板'!$G$33*'00参数面板'!$D$33)/('00参数面板'!$D$33*'00参数面板'!$G$33+'00参数面板'!$D$34*'00参数面板'!$G$34+'00参数面板'!$D$35*'00参数面板'!$G$35+'00参数面板'!$D$36*'00参数面板'!$G$36))/'00参数面板'!$D$33)/12+2500000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</row>
    <row r="29" ht="4" customHeight="1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</row>
    <row r="30" ht="21" customHeight="1">
      <c r="A30" s="62">
        <f>'00参数面板'!$A$34</f>
        <v/>
      </c>
      <c r="B30" s="214">
        <f>'00参数面板'!$G$34</f>
        <v/>
      </c>
      <c r="C30" s="215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0" s="62">
        <f>'00参数面板'!$A$41</f>
        <v/>
      </c>
      <c r="E30" s="64">
        <f>'00参数面板'!$D$41</f>
        <v/>
      </c>
      <c r="F30" s="66">
        <f>'00参数面板'!$D$41/'00参数面板'!$C$25</f>
        <v/>
      </c>
      <c r="G30" s="67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0" s="216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$41</f>
        <v/>
      </c>
      <c r="I30" s="67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0" s="67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0" s="67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1" ht="21" customHeight="1">
      <c r="A31" s="76">
        <f>'00参数面板'!$A$34</f>
        <v/>
      </c>
      <c r="B31" s="217">
        <f>'00参数面板'!$G$34</f>
        <v/>
      </c>
      <c r="C31" s="218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1" s="76">
        <f>'00参数面板'!$A$42</f>
        <v/>
      </c>
      <c r="E31" s="78">
        <f>'00参数面板'!$D$42</f>
        <v/>
      </c>
      <c r="F31" s="80">
        <f>'00参数面板'!$D$42/'00参数面板'!$C$25</f>
        <v/>
      </c>
      <c r="G31" s="81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1" s="219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$42</f>
        <v/>
      </c>
      <c r="I31" s="81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1" s="81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1" s="81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2" ht="21" customHeight="1">
      <c r="A32" s="90">
        <f>'00参数面板'!$A$34</f>
        <v/>
      </c>
      <c r="B32" s="220">
        <f>'00参数面板'!$G$34</f>
        <v/>
      </c>
      <c r="C32" s="221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2" s="90">
        <f>'00参数面板'!$A$43</f>
        <v/>
      </c>
      <c r="E32" s="92">
        <f>'00参数面板'!$D$43</f>
        <v/>
      </c>
      <c r="F32" s="94">
        <f>'00参数面板'!$D$43/'00参数面板'!$C$25</f>
        <v/>
      </c>
      <c r="G32" s="95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2" s="222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$43</f>
        <v/>
      </c>
      <c r="I32" s="95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2" s="95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2" s="95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3" ht="21" customHeight="1">
      <c r="A33" s="223">
        <f>'00参数面板'!$A$34</f>
        <v/>
      </c>
      <c r="B33" s="224">
        <f>'00参数面板'!$G$34</f>
        <v/>
      </c>
      <c r="C33" s="225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3" s="223">
        <f>'00参数面板'!$A$44</f>
        <v/>
      </c>
      <c r="E33" s="226">
        <f>'00参数面板'!$D$44</f>
        <v/>
      </c>
      <c r="F33" s="227">
        <f>'00参数面板'!$D$44/'00参数面板'!$C$25</f>
        <v/>
      </c>
      <c r="G33" s="228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3" s="229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$44</f>
        <v/>
      </c>
      <c r="I33" s="228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3" s="228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3" s="228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4" ht="21" customHeight="1">
      <c r="A34" s="97">
        <f>'00参数面板'!$A$34</f>
        <v/>
      </c>
      <c r="B34" s="230">
        <f>'00参数面板'!$G$34</f>
        <v/>
      </c>
      <c r="C34" s="231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4" s="97">
        <f>'00参数面板'!$A$45</f>
        <v/>
      </c>
      <c r="E34" s="50">
        <f>'00参数面板'!$D$45</f>
        <v/>
      </c>
      <c r="F34" s="101">
        <f>'00参数面板'!$D$45/'00参数面板'!$C$25</f>
        <v/>
      </c>
      <c r="G34" s="102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4" s="232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$45</f>
        <v/>
      </c>
      <c r="I34" s="102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4" s="102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4" s="102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5" ht="21" customHeight="1">
      <c r="A35" s="233">
        <f>'00参数面板'!$A$34</f>
        <v/>
      </c>
      <c r="B35" s="234">
        <f>'00参数面板'!$G$34</f>
        <v/>
      </c>
      <c r="C35" s="235">
        <f>('00参数面板'!$G$34*'00参数面板'!$D$34)/('00参数面板'!$D$33*'00参数面板'!$G$33+'00参数面板'!$D$34*'00参数面板'!$G$34+'00参数面板'!$D$35*'00参数面板'!$G$35+'00参数面板'!$D$36*'00参数面板'!$G$36)</f>
        <v/>
      </c>
      <c r="D35" s="233">
        <f>'00参数面板'!$A$46</f>
        <v/>
      </c>
      <c r="E35" s="50">
        <f>'00参数面板'!$D$46</f>
        <v/>
      </c>
      <c r="F35" s="236">
        <f>'00参数面板'!$D$46/'00参数面板'!$C$25</f>
        <v/>
      </c>
      <c r="G35" s="237">
        <f>500000*(('00参数面板'!$G$34*'00参数面板'!$D$34)/('00参数面板'!$D$33*'00参数面板'!$G$33+'00参数面板'!$D$34*'00参数面板'!$G$34+'00参数面板'!$D$35*'00参数面板'!$G$35+'00参数面板'!$D$36*'00参数面板'!$G$36))/'00参数面板'!$D$34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H35" s="238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'00参数面板'!$D$46</f>
        <v/>
      </c>
      <c r="I35" s="237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</f>
        <v/>
      </c>
      <c r="J35" s="237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K35" s="237">
        <f>(500000*(('00参数面板'!$G$34*'00参数面板'!$D$34)/('00参数面板'!$D$33*'00参数面板'!$G$33+'00参数面板'!$D$34*'00参数面板'!$G$34+'00参数面板'!$D$35*'00参数面板'!$G$35+'00参数面板'!$D$36*'00参数面板'!$G$36))/'00参数面板'!$D$34)/12+2500000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</row>
    <row r="36" ht="4" customHeight="1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</row>
    <row r="37" ht="21" customHeight="1">
      <c r="A37" s="104">
        <f>'00参数面板'!$A$35</f>
        <v/>
      </c>
      <c r="B37" s="239">
        <f>'00参数面板'!$G$35</f>
        <v/>
      </c>
      <c r="C37" s="240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37" s="104">
        <f>'00参数面板'!$A$41</f>
        <v/>
      </c>
      <c r="E37" s="106">
        <f>'00参数面板'!$D$41</f>
        <v/>
      </c>
      <c r="F37" s="108">
        <f>'00参数面板'!$D$41/'00参数面板'!$C$25</f>
        <v/>
      </c>
      <c r="G37" s="109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37" s="241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$41</f>
        <v/>
      </c>
      <c r="I37" s="109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37" s="109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37" s="109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38" ht="21" customHeight="1">
      <c r="A38" s="118">
        <f>'00参数面板'!$A$35</f>
        <v/>
      </c>
      <c r="B38" s="242">
        <f>'00参数面板'!$G$35</f>
        <v/>
      </c>
      <c r="C38" s="243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38" s="118">
        <f>'00参数面板'!$A$42</f>
        <v/>
      </c>
      <c r="E38" s="120">
        <f>'00参数面板'!$D$42</f>
        <v/>
      </c>
      <c r="F38" s="122">
        <f>'00参数面板'!$D$42/'00参数面板'!$C$25</f>
        <v/>
      </c>
      <c r="G38" s="123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38" s="244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$42</f>
        <v/>
      </c>
      <c r="I38" s="123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38" s="123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38" s="123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39" ht="21" customHeight="1">
      <c r="A39" s="132">
        <f>'00参数面板'!$A$35</f>
        <v/>
      </c>
      <c r="B39" s="245">
        <f>'00参数面板'!$G$35</f>
        <v/>
      </c>
      <c r="C39" s="246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39" s="132">
        <f>'00参数面板'!$A$43</f>
        <v/>
      </c>
      <c r="E39" s="134">
        <f>'00参数面板'!$D$43</f>
        <v/>
      </c>
      <c r="F39" s="136">
        <f>'00参数面板'!$D$43/'00参数面板'!$C$25</f>
        <v/>
      </c>
      <c r="G39" s="137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39" s="247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$43</f>
        <v/>
      </c>
      <c r="I39" s="137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39" s="137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39" s="137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40" ht="21" customHeight="1">
      <c r="A40" s="139">
        <f>'00参数面板'!$A$35</f>
        <v/>
      </c>
      <c r="B40" s="248">
        <f>'00参数面板'!$G$35</f>
        <v/>
      </c>
      <c r="C40" s="249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40" s="139">
        <f>'00参数面板'!$A$44</f>
        <v/>
      </c>
      <c r="E40" s="141">
        <f>'00参数面板'!$D$44</f>
        <v/>
      </c>
      <c r="F40" s="143">
        <f>'00参数面板'!$D$44/'00参数面板'!$C$25</f>
        <v/>
      </c>
      <c r="G40" s="144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40" s="250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$44</f>
        <v/>
      </c>
      <c r="I40" s="144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40" s="144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40" s="144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41" ht="21" customHeight="1">
      <c r="A41" s="251">
        <f>'00参数面板'!$A$35</f>
        <v/>
      </c>
      <c r="B41" s="252">
        <f>'00参数面板'!$G$35</f>
        <v/>
      </c>
      <c r="C41" s="253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41" s="251">
        <f>'00参数面板'!$A$45</f>
        <v/>
      </c>
      <c r="E41" s="50">
        <f>'00参数面板'!$D$45</f>
        <v/>
      </c>
      <c r="F41" s="254">
        <f>'00参数面板'!$D$45/'00参数面板'!$C$25</f>
        <v/>
      </c>
      <c r="G41" s="255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41" s="256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$45</f>
        <v/>
      </c>
      <c r="I41" s="255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41" s="255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41" s="255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42" ht="21" customHeight="1">
      <c r="A42" s="257">
        <f>'00参数面板'!$A$35</f>
        <v/>
      </c>
      <c r="B42" s="258">
        <f>'00参数面板'!$G$35</f>
        <v/>
      </c>
      <c r="C42" s="259">
        <f>('00参数面板'!$G$35*'00参数面板'!$D$35)/('00参数面板'!$D$33*'00参数面板'!$G$33+'00参数面板'!$D$34*'00参数面板'!$G$34+'00参数面板'!$D$35*'00参数面板'!$G$35+'00参数面板'!$D$36*'00参数面板'!$G$36)</f>
        <v/>
      </c>
      <c r="D42" s="257">
        <f>'00参数面板'!$A$46</f>
        <v/>
      </c>
      <c r="E42" s="50">
        <f>'00参数面板'!$D$46</f>
        <v/>
      </c>
      <c r="F42" s="260">
        <f>'00参数面板'!$D$46/'00参数面板'!$C$25</f>
        <v/>
      </c>
      <c r="G42" s="261">
        <f>500000*(('00参数面板'!$G$35*'00参数面板'!$D$35)/('00参数面板'!$D$33*'00参数面板'!$G$33+'00参数面板'!$D$34*'00参数面板'!$G$34+'00参数面板'!$D$35*'00参数面板'!$G$35+'00参数面板'!$D$36*'00参数面板'!$G$36))/'00参数面板'!$D$35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H42" s="262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'00参数面板'!$D$46</f>
        <v/>
      </c>
      <c r="I42" s="261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</f>
        <v/>
      </c>
      <c r="J42" s="261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K42" s="261">
        <f>(500000*(('00参数面板'!$G$35*'00参数面板'!$D$35)/('00参数面板'!$D$33*'00参数面板'!$G$33+'00参数面板'!$D$34*'00参数面板'!$G$34+'00参数面板'!$D$35*'00参数面板'!$G$35+'00参数面板'!$D$36*'00参数面板'!$G$36))/'00参数面板'!$D$35)/12+2500000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</row>
    <row r="43" ht="4" customHeight="1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</row>
    <row r="44" ht="21" customHeight="1">
      <c r="A44" s="146">
        <f>'00参数面板'!$A$36</f>
        <v/>
      </c>
      <c r="B44" s="263">
        <f>'00参数面板'!$G$36</f>
        <v/>
      </c>
      <c r="C44" s="264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4" s="146">
        <f>'00参数面板'!$A$41</f>
        <v/>
      </c>
      <c r="E44" s="148">
        <f>'00参数面板'!$D$41</f>
        <v/>
      </c>
      <c r="F44" s="150">
        <f>'00参数面板'!$D$41/'00参数面板'!$C$25</f>
        <v/>
      </c>
      <c r="G44" s="151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4" s="265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$41</f>
        <v/>
      </c>
      <c r="I44" s="151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4" s="151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4" s="151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45" ht="21" customHeight="1">
      <c r="A45" s="160">
        <f>'00参数面板'!$A$36</f>
        <v/>
      </c>
      <c r="B45" s="266">
        <f>'00参数面板'!$G$36</f>
        <v/>
      </c>
      <c r="C45" s="267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5" s="160">
        <f>'00参数面板'!$A$42</f>
        <v/>
      </c>
      <c r="E45" s="162">
        <f>'00参数面板'!$D$42</f>
        <v/>
      </c>
      <c r="F45" s="164">
        <f>'00参数面板'!$D$42/'00参数面板'!$C$25</f>
        <v/>
      </c>
      <c r="G45" s="165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5" s="268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$42</f>
        <v/>
      </c>
      <c r="I45" s="165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5" s="165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5" s="165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46" ht="21" customHeight="1">
      <c r="A46" s="174">
        <f>'00参数面板'!$A$36</f>
        <v/>
      </c>
      <c r="B46" s="269">
        <f>'00参数面板'!$G$36</f>
        <v/>
      </c>
      <c r="C46" s="270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6" s="174">
        <f>'00参数面板'!$A$43</f>
        <v/>
      </c>
      <c r="E46" s="176">
        <f>'00参数面板'!$D$43</f>
        <v/>
      </c>
      <c r="F46" s="178">
        <f>'00参数面板'!$D$43/'00参数面板'!$C$25</f>
        <v/>
      </c>
      <c r="G46" s="179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6" s="271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$43</f>
        <v/>
      </c>
      <c r="I46" s="179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6" s="179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6" s="179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47" ht="21" customHeight="1">
      <c r="A47" s="272">
        <f>'00参数面板'!$A$36</f>
        <v/>
      </c>
      <c r="B47" s="273">
        <f>'00参数面板'!$G$36</f>
        <v/>
      </c>
      <c r="C47" s="274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7" s="272">
        <f>'00参数面板'!$A$44</f>
        <v/>
      </c>
      <c r="E47" s="275">
        <f>'00参数面板'!$D$44</f>
        <v/>
      </c>
      <c r="F47" s="276">
        <f>'00参数面板'!$D$44/'00参数面板'!$C$25</f>
        <v/>
      </c>
      <c r="G47" s="277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7" s="278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$44</f>
        <v/>
      </c>
      <c r="I47" s="277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7" s="277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7" s="277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48" ht="21" customHeight="1">
      <c r="A48" s="181">
        <f>'00参数面板'!$A$36</f>
        <v/>
      </c>
      <c r="B48" s="279">
        <f>'00参数面板'!$G$36</f>
        <v/>
      </c>
      <c r="C48" s="280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8" s="181">
        <f>'00参数面板'!$A$45</f>
        <v/>
      </c>
      <c r="E48" s="50">
        <f>'00参数面板'!$D$45</f>
        <v/>
      </c>
      <c r="F48" s="185">
        <f>'00参数面板'!$D$45/'00参数面板'!$C$25</f>
        <v/>
      </c>
      <c r="G48" s="186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8" s="281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$45</f>
        <v/>
      </c>
      <c r="I48" s="186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8" s="186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8" s="186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49" ht="21" customHeight="1">
      <c r="A49" s="282">
        <f>'00参数面板'!$A$36</f>
        <v/>
      </c>
      <c r="B49" s="283">
        <f>'00参数面板'!$G$36</f>
        <v/>
      </c>
      <c r="C49" s="284">
        <f>('00参数面板'!$G$36*'00参数面板'!$D$36)/('00参数面板'!$D$33*'00参数面板'!$G$33+'00参数面板'!$D$34*'00参数面板'!$G$34+'00参数面板'!$D$35*'00参数面板'!$G$35+'00参数面板'!$D$36*'00参数面板'!$G$36)</f>
        <v/>
      </c>
      <c r="D49" s="282">
        <f>'00参数面板'!$A$46</f>
        <v/>
      </c>
      <c r="E49" s="50">
        <f>'00参数面板'!$D$46</f>
        <v/>
      </c>
      <c r="F49" s="285">
        <f>'00参数面板'!$D$46/'00参数面板'!$C$25</f>
        <v/>
      </c>
      <c r="G49" s="286">
        <f>500000*(('00参数面板'!$G$36*'00参数面板'!$D$36)/('00参数面板'!$D$33*'00参数面板'!$G$33+'00参数面板'!$D$34*'00参数面板'!$G$34+'00参数面板'!$D$35*'00参数面板'!$G$35+'00参数面板'!$D$36*'00参数面板'!$G$36))/'00参数面板'!$D$36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H49" s="287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'00参数面板'!$D$46</f>
        <v/>
      </c>
      <c r="I49" s="286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</f>
        <v/>
      </c>
      <c r="J49" s="286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K49" s="286">
        <f>(500000*(('00参数面板'!$G$36*'00参数面板'!$D$36)/('00参数面板'!$D$33*'00参数面板'!$G$33+'00参数面板'!$D$34*'00参数面板'!$G$34+'00参数面板'!$D$35*'00参数面板'!$G$35+'00参数面板'!$D$36*'00参数面板'!$G$36))/'00参数面板'!$D$36)/12+2500000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</row>
    <row r="50" ht="4" customHeight="1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</row>
  </sheetData>
  <mergeCells count="7">
    <mergeCell ref="D2:F2"/>
    <mergeCell ref="G2:I2"/>
    <mergeCell ref="A4:K4"/>
    <mergeCell ref="A21:K21"/>
    <mergeCell ref="J2:K2"/>
    <mergeCell ref="A1:K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2" customWidth="1" min="4" max="4"/>
    <col width="12" customWidth="1" min="5" max="5"/>
    <col width="9" customWidth="1" min="6" max="6"/>
    <col width="9" customWidth="1" min="7" max="7"/>
    <col width="12" customWidth="1" min="8" max="8"/>
    <col width="9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3" customWidth="1" min="17" max="17"/>
    <col width="11" customWidth="1" min="18" max="18"/>
  </cols>
  <sheetData>
    <row r="1" ht="44" customHeight="1">
      <c r="A1" s="1" t="inlineStr">
        <is>
          <t>节点收益全景矩阵（母子双币 × 6价格阶段）— 全公式联动参数面板</t>
        </is>
      </c>
      <c r="B1" s="296" t="n"/>
      <c r="C1" s="296" t="n"/>
      <c r="D1" s="296" t="n"/>
      <c r="E1" s="296" t="n"/>
      <c r="F1" s="296" t="n"/>
      <c r="G1" s="296" t="n"/>
      <c r="H1" s="296" t="n"/>
      <c r="I1" s="296" t="n"/>
      <c r="J1" s="296" t="n"/>
      <c r="K1" s="296" t="n"/>
      <c r="L1" s="296" t="n"/>
      <c r="M1" s="296" t="n"/>
      <c r="N1" s="296" t="n"/>
      <c r="O1" s="296" t="n"/>
      <c r="P1" s="296" t="n"/>
      <c r="Q1" s="296" t="n"/>
      <c r="R1" s="297" t="n"/>
    </row>
    <row r="2" ht="22" customHeight="1">
      <c r="A2" s="2" t="inlineStr">
        <is>
          <t>🔒 固定</t>
        </is>
      </c>
      <c r="B2" s="296" t="n"/>
      <c r="C2" s="296" t="n"/>
      <c r="D2" s="297" t="n"/>
      <c r="E2" s="3" t="inlineStr">
        <is>
          <t>📝 可变</t>
        </is>
      </c>
      <c r="F2" s="296" t="n"/>
      <c r="G2" s="296" t="n"/>
      <c r="H2" s="297" t="n"/>
      <c r="I2" s="4" t="inlineStr">
        <is>
          <t>📊 计算结果</t>
        </is>
      </c>
      <c r="J2" s="296" t="n"/>
      <c r="K2" s="296" t="n"/>
      <c r="L2" s="296" t="n"/>
      <c r="M2" s="297" t="n"/>
      <c r="N2" s="7" t="inlineStr">
        <is>
          <t>修改参数面板 → 全表自动联动</t>
        </is>
      </c>
      <c r="O2" s="296" t="n"/>
      <c r="P2" s="296" t="n"/>
      <c r="Q2" s="296" t="n"/>
      <c r="R2" s="297" t="n"/>
    </row>
    <row r="3" ht="10" customHeight="1"/>
    <row r="4" ht="26" customHeight="1">
      <c r="A4" s="6" t="inlineStr">
        <is>
          <t>▌ 综合收益矩阵：4节点 × 6价格阶段 × 18列指标（全部Excel公式联动）</t>
        </is>
      </c>
      <c r="B4" s="296" t="n"/>
      <c r="C4" s="296" t="n"/>
      <c r="D4" s="296" t="n"/>
      <c r="E4" s="296" t="n"/>
      <c r="F4" s="296" t="n"/>
      <c r="G4" s="296" t="n"/>
      <c r="H4" s="296" t="n"/>
      <c r="I4" s="296" t="n"/>
      <c r="J4" s="296" t="n"/>
      <c r="K4" s="296" t="n"/>
      <c r="L4" s="296" t="n"/>
      <c r="M4" s="296" t="n"/>
      <c r="N4" s="296" t="n"/>
      <c r="O4" s="296" t="n"/>
      <c r="P4" s="296" t="n"/>
      <c r="Q4" s="296" t="n"/>
      <c r="R4" s="297" t="n"/>
    </row>
    <row r="5" ht="40" customHeight="1">
      <c r="A5" s="7" t="inlineStr">
        <is>
          <t>节点</t>
        </is>
      </c>
      <c r="B5" s="7" t="inlineStr">
        <is>
          <t>投资额(U)</t>
        </is>
      </c>
      <c r="C5" s="7" t="inlineStr">
        <is>
          <t>私募价($)</t>
        </is>
      </c>
      <c r="D5" s="7" t="inlineStr">
        <is>
          <t>持有母TOKEN(枚)</t>
        </is>
      </c>
      <c r="E5" s="7" t="inlineStr">
        <is>
          <t>价格阶段</t>
        </is>
      </c>
      <c r="F5" s="7" t="inlineStr">
        <is>
          <t>母TOKEN价($)</t>
        </is>
      </c>
      <c r="G5" s="7" t="inlineStr">
        <is>
          <t>子TOKEN价($)</t>
        </is>
      </c>
      <c r="H5" s="7" t="inlineStr">
        <is>
          <t>持仓市值(U)</t>
        </is>
      </c>
      <c r="I5" s="7" t="inlineStr">
        <is>
          <t>市值/成本×</t>
        </is>
      </c>
      <c r="J5" s="7" t="inlineStr">
        <is>
          <t>日USDT(U)</t>
        </is>
      </c>
      <c r="K5" s="7" t="inlineStr">
        <is>
          <t>30天USDT(U)</t>
        </is>
      </c>
      <c r="L5" s="7" t="inlineStr">
        <is>
          <t>空投价值(U)</t>
        </is>
      </c>
      <c r="M5" s="7" t="inlineStr">
        <is>
          <t>月打新收益(U)</t>
        </is>
      </c>
      <c r="N5" s="7" t="inlineStr">
        <is>
          <t>月子币税分红(U)</t>
        </is>
      </c>
      <c r="O5" s="7" t="inlineStr">
        <is>
          <t>月综合收益(U)</t>
        </is>
      </c>
      <c r="P5" s="7" t="inlineStr">
        <is>
          <t>月收益率(%投资)</t>
        </is>
      </c>
      <c r="Q5" s="7" t="inlineStr">
        <is>
          <t>总资产(U)</t>
        </is>
      </c>
      <c r="R5" s="7" t="inlineStr">
        <is>
          <t>总资产/成本×</t>
        </is>
      </c>
    </row>
    <row r="6" ht="21" customHeight="1">
      <c r="A6" s="18">
        <f>'00参数面板'!$A$33</f>
        <v/>
      </c>
      <c r="B6" s="19">
        <f>'00参数面板'!$C$33</f>
        <v/>
      </c>
      <c r="C6" s="20">
        <f>'00参数面板'!$E$33</f>
        <v/>
      </c>
      <c r="D6" s="21">
        <f>'00参数面板'!$C$33/'00参数面板'!$E$33</f>
        <v/>
      </c>
      <c r="E6" s="18">
        <f>'00参数面板'!$A$41</f>
        <v/>
      </c>
      <c r="F6" s="20">
        <f>'00参数面板'!$C$41</f>
        <v/>
      </c>
      <c r="G6" s="20">
        <f>'00参数面板'!$D$41</f>
        <v/>
      </c>
      <c r="H6" s="23">
        <f>('00参数面板'!$C$33/'00参数面板'!$E$33)*'00参数面板'!$C$41</f>
        <v/>
      </c>
      <c r="I6" s="22">
        <f>('00参数面板'!$C$33/'00参数面板'!$E$33)*'00参数面板'!$C$41/'00参数面板'!$C$33</f>
        <v/>
      </c>
      <c r="J6" s="24">
        <f>'00参数面板'!$F$33</f>
        <v/>
      </c>
      <c r="K6" s="23">
        <f>'00参数面板'!$F$33*30</f>
        <v/>
      </c>
      <c r="L6" s="23">
        <f>'00参数面板'!$H$33*'00参数面板'!$C$41</f>
        <v/>
      </c>
      <c r="M6" s="23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6" s="23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6" s="23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6" s="194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6" s="23">
        <f>(('00参数面板'!$C$33/'00参数面板'!$E$33)*'00参数面板'!$C$41)+'00参数面板'!$F$33*30+'00参数面板'!$H$33*'00参数面板'!$C$41</f>
        <v/>
      </c>
      <c r="R6" s="22">
        <f>((('00参数面板'!$C$33/'00参数面板'!$E$33)*'00参数面板'!$C$41)+'00参数面板'!$F$33*30+'00参数面板'!$H$33*'00参数面板'!$C$41)/'00参数面板'!$C$33</f>
        <v/>
      </c>
    </row>
    <row r="7" ht="21" customHeight="1">
      <c r="A7" s="25">
        <f>'00参数面板'!$A$33</f>
        <v/>
      </c>
      <c r="B7" s="26">
        <f>'00参数面板'!$C$33</f>
        <v/>
      </c>
      <c r="C7" s="27">
        <f>'00参数面板'!$E$33</f>
        <v/>
      </c>
      <c r="D7" s="28">
        <f>'00参数面板'!$C$33/'00参数面板'!$E$33</f>
        <v/>
      </c>
      <c r="E7" s="25">
        <f>'00参数面板'!$A$42</f>
        <v/>
      </c>
      <c r="F7" s="27">
        <f>'00参数面板'!$C$42</f>
        <v/>
      </c>
      <c r="G7" s="27">
        <f>'00参数面板'!$D$42</f>
        <v/>
      </c>
      <c r="H7" s="30">
        <f>('00参数面板'!$C$33/'00参数面板'!$E$33)*'00参数面板'!$C$42</f>
        <v/>
      </c>
      <c r="I7" s="29">
        <f>('00参数面板'!$C$33/'00参数面板'!$E$33)*'00参数面板'!$C$42/'00参数面板'!$C$33</f>
        <v/>
      </c>
      <c r="J7" s="31">
        <f>'00参数面板'!$F$33</f>
        <v/>
      </c>
      <c r="K7" s="30">
        <f>'00参数面板'!$F$33*30</f>
        <v/>
      </c>
      <c r="L7" s="30">
        <f>'00参数面板'!$H$33*'00参数面板'!$C$42</f>
        <v/>
      </c>
      <c r="M7" s="30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7" s="30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7" s="30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7" s="288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7" s="30">
        <f>(('00参数面板'!$C$33/'00参数面板'!$E$33)*'00参数面板'!$C$42)+'00参数面板'!$F$33*30+'00参数面板'!$H$33*'00参数面板'!$C$42</f>
        <v/>
      </c>
      <c r="R7" s="29">
        <f>((('00参数面板'!$C$33/'00参数面板'!$E$33)*'00参数面板'!$C$42)+'00参数面板'!$F$33*30+'00参数面板'!$H$33*'00参数面板'!$C$42)/'00参数面板'!$C$33</f>
        <v/>
      </c>
    </row>
    <row r="8" ht="21" customHeight="1">
      <c r="A8" s="32">
        <f>'00参数面板'!$A$33</f>
        <v/>
      </c>
      <c r="B8" s="33">
        <f>'00参数面板'!$C$33</f>
        <v/>
      </c>
      <c r="C8" s="34">
        <f>'00参数面板'!$E$33</f>
        <v/>
      </c>
      <c r="D8" s="35">
        <f>'00参数面板'!$C$33/'00参数面板'!$E$33</f>
        <v/>
      </c>
      <c r="E8" s="32">
        <f>'00参数面板'!$A$43</f>
        <v/>
      </c>
      <c r="F8" s="34">
        <f>'00参数面板'!$C$43</f>
        <v/>
      </c>
      <c r="G8" s="34">
        <f>'00参数面板'!$D$43</f>
        <v/>
      </c>
      <c r="H8" s="37">
        <f>('00参数面板'!$C$33/'00参数面板'!$E$33)*'00参数面板'!$C$43</f>
        <v/>
      </c>
      <c r="I8" s="36">
        <f>('00参数面板'!$C$33/'00参数面板'!$E$33)*'00参数面板'!$C$43/'00参数面板'!$C$33</f>
        <v/>
      </c>
      <c r="J8" s="38">
        <f>'00参数面板'!$F$33</f>
        <v/>
      </c>
      <c r="K8" s="37">
        <f>'00参数面板'!$F$33*30</f>
        <v/>
      </c>
      <c r="L8" s="37">
        <f>'00参数面板'!$H$33*'00参数面板'!$C$43</f>
        <v/>
      </c>
      <c r="M8" s="37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8" s="37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8" s="37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8" s="197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8" s="37">
        <f>(('00参数面板'!$C$33/'00参数面板'!$E$33)*'00参数面板'!$C$43)+'00参数面板'!$F$33*30+'00参数面板'!$H$33*'00参数面板'!$C$43</f>
        <v/>
      </c>
      <c r="R8" s="36">
        <f>((('00参数面板'!$C$33/'00参数面板'!$E$33)*'00参数面板'!$C$43)+'00参数面板'!$F$33*30+'00参数面板'!$H$33*'00参数面板'!$C$43)/'00参数面板'!$C$33</f>
        <v/>
      </c>
    </row>
    <row r="9" ht="21" customHeight="1">
      <c r="A9" s="39">
        <f>'00参数面板'!$A$33</f>
        <v/>
      </c>
      <c r="B9" s="40">
        <f>'00参数面板'!$C$33</f>
        <v/>
      </c>
      <c r="C9" s="41">
        <f>'00参数面板'!$E$33</f>
        <v/>
      </c>
      <c r="D9" s="42">
        <f>'00参数面板'!$C$33/'00参数面板'!$E$33</f>
        <v/>
      </c>
      <c r="E9" s="39">
        <f>'00参数面板'!$A$44</f>
        <v/>
      </c>
      <c r="F9" s="41">
        <f>'00参数面板'!$C$44</f>
        <v/>
      </c>
      <c r="G9" s="41">
        <f>'00参数面板'!$D$44</f>
        <v/>
      </c>
      <c r="H9" s="44">
        <f>('00参数面板'!$C$33/'00参数面板'!$E$33)*'00参数面板'!$C$44</f>
        <v/>
      </c>
      <c r="I9" s="43">
        <f>('00参数面板'!$C$33/'00参数面板'!$E$33)*'00参数面板'!$C$44/'00参数面板'!$C$33</f>
        <v/>
      </c>
      <c r="J9" s="45">
        <f>'00参数面板'!$F$33</f>
        <v/>
      </c>
      <c r="K9" s="44">
        <f>'00参数面板'!$F$33*30</f>
        <v/>
      </c>
      <c r="L9" s="44">
        <f>'00参数面板'!$H$33*'00参数面板'!$C$44</f>
        <v/>
      </c>
      <c r="M9" s="44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9" s="44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9" s="44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9" s="200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9" s="44">
        <f>(('00参数面板'!$C$33/'00参数面板'!$E$33)*'00参数面板'!$C$44)+'00参数面板'!$F$33*30+'00参数面板'!$H$33*'00参数面板'!$C$44</f>
        <v/>
      </c>
      <c r="R9" s="43">
        <f>((('00参数面板'!$C$33/'00参数面板'!$E$33)*'00参数面板'!$C$44)+'00参数面板'!$F$33*30+'00参数面板'!$H$33*'00参数面板'!$C$44)/'00参数面板'!$C$33</f>
        <v/>
      </c>
    </row>
    <row r="10" ht="21" customHeight="1">
      <c r="A10" s="46">
        <f>'00参数面板'!$A$33</f>
        <v/>
      </c>
      <c r="B10" s="47">
        <f>'00参数面板'!$C$33</f>
        <v/>
      </c>
      <c r="C10" s="48">
        <f>'00参数面板'!$E$33</f>
        <v/>
      </c>
      <c r="D10" s="49">
        <f>'00参数面板'!$C$33/'00参数面板'!$E$33</f>
        <v/>
      </c>
      <c r="E10" s="46">
        <f>'00参数面板'!$A$45</f>
        <v/>
      </c>
      <c r="F10" s="50">
        <f>'00参数面板'!$C$45</f>
        <v/>
      </c>
      <c r="G10" s="50">
        <f>'00参数面板'!$D$45</f>
        <v/>
      </c>
      <c r="H10" s="52">
        <f>('00参数面板'!$C$33/'00参数面板'!$E$33)*'00参数面板'!$C$45</f>
        <v/>
      </c>
      <c r="I10" s="51">
        <f>('00参数面板'!$C$33/'00参数面板'!$E$33)*'00参数面板'!$C$45/'00参数面板'!$C$33</f>
        <v/>
      </c>
      <c r="J10" s="53">
        <f>'00参数面板'!$F$33</f>
        <v/>
      </c>
      <c r="K10" s="52">
        <f>'00参数面板'!$F$33*30</f>
        <v/>
      </c>
      <c r="L10" s="52">
        <f>'00参数面板'!$H$33*'00参数面板'!$C$45</f>
        <v/>
      </c>
      <c r="M10" s="52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10" s="52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10" s="52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10" s="203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10" s="52">
        <f>(('00参数面板'!$C$33/'00参数面板'!$E$33)*'00参数面板'!$C$45)+'00参数面板'!$F$33*30+'00参数面板'!$H$33*'00参数面板'!$C$45</f>
        <v/>
      </c>
      <c r="R10" s="51">
        <f>((('00参数面板'!$C$33/'00参数面板'!$E$33)*'00参数面板'!$C$45)+'00参数面板'!$F$33*30+'00参数面板'!$H$33*'00参数面板'!$C$45)/'00参数面板'!$C$33</f>
        <v/>
      </c>
    </row>
    <row r="11" ht="21" customHeight="1">
      <c r="A11" s="54">
        <f>'00参数面板'!$A$33</f>
        <v/>
      </c>
      <c r="B11" s="55">
        <f>'00参数面板'!$C$33</f>
        <v/>
      </c>
      <c r="C11" s="56">
        <f>'00参数面板'!$E$33</f>
        <v/>
      </c>
      <c r="D11" s="57">
        <f>'00参数面板'!$C$33/'00参数面板'!$E$33</f>
        <v/>
      </c>
      <c r="E11" s="54">
        <f>'00参数面板'!$A$46</f>
        <v/>
      </c>
      <c r="F11" s="50">
        <f>'00参数面板'!$C$46</f>
        <v/>
      </c>
      <c r="G11" s="50">
        <f>'00参数面板'!$D$46</f>
        <v/>
      </c>
      <c r="H11" s="59">
        <f>('00参数面板'!$C$33/'00参数面板'!$E$33)*'00参数面板'!$C$46</f>
        <v/>
      </c>
      <c r="I11" s="58">
        <f>('00参数面板'!$C$33/'00参数面板'!$E$33)*'00参数面板'!$C$46/'00参数面板'!$C$33</f>
        <v/>
      </c>
      <c r="J11" s="60">
        <f>'00参数面板'!$F$33</f>
        <v/>
      </c>
      <c r="K11" s="59">
        <f>'00参数面板'!$F$33*30</f>
        <v/>
      </c>
      <c r="L11" s="59">
        <f>'00参数面板'!$H$33*'00参数面板'!$C$46</f>
        <v/>
      </c>
      <c r="M11" s="59">
        <f>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N11" s="59">
        <f>2500000*0.05*0.4*(('00参数面板'!$G$33*'00参数面板'!$D$33)/('00参数面板'!$D$33*'00参数面板'!$G$33+'00参数面板'!$D$34*'00参数面板'!$G$34+'00参数面板'!$D$35*'00参数面板'!$G$35+'00参数面板'!$D$36*'00参数面板'!$G$36))/'00参数面板'!$D$33</f>
        <v/>
      </c>
      <c r="O11" s="59">
        <f>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</f>
        <v/>
      </c>
      <c r="P11" s="206">
        <f>('00参数面板'!$F$33*30/30*30+2500000*0.05*0.4*(('00参数面板'!$G$33*'00参数面板'!$D$33)/('00参数面板'!$D$33*'00参数面板'!$G$33+'00参数面板'!$D$34*'00参数面板'!$G$34+'00参数面板'!$D$35*'00参数面板'!$G$35+'00参数面板'!$D$36*'00参数面板'!$G$36))/'00参数面板'!$D$33+500000*(('00参数面板'!$G$33*'00参数面板'!$D$33)/('00参数面板'!$D$33*'00参数面板'!$G$33+'00参数面板'!$D$34*'00参数面板'!$G$34+'00参数面板'!$D$35*'00参数面板'!$G$35+'00参数面板'!$D$36*'00参数面板'!$G$36))/'00参数面板'!$D$33/12)/'00参数面板'!$C$33</f>
        <v/>
      </c>
      <c r="Q11" s="59">
        <f>(('00参数面板'!$C$33/'00参数面板'!$E$33)*'00参数面板'!$C$46)+'00参数面板'!$F$33*30+'00参数面板'!$H$33*'00参数面板'!$C$46</f>
        <v/>
      </c>
      <c r="R11" s="58">
        <f>((('00参数面板'!$C$33/'00参数面板'!$E$33)*'00参数面板'!$C$46)+'00参数面板'!$F$33*30+'00参数面板'!$H$33*'00参数面板'!$C$46)/'00参数面板'!$C$33</f>
        <v/>
      </c>
    </row>
    <row r="12" ht="4" customHeight="1">
      <c r="A12" s="61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</row>
    <row r="13" ht="21" customHeight="1">
      <c r="A13" s="62">
        <f>'00参数面板'!$A$34</f>
        <v/>
      </c>
      <c r="B13" s="63">
        <f>'00参数面板'!$C$34</f>
        <v/>
      </c>
      <c r="C13" s="64">
        <f>'00参数面板'!$E$34</f>
        <v/>
      </c>
      <c r="D13" s="65">
        <f>'00参数面板'!$C$34/'00参数面板'!$E$34</f>
        <v/>
      </c>
      <c r="E13" s="62">
        <f>'00参数面板'!$A$41</f>
        <v/>
      </c>
      <c r="F13" s="64">
        <f>'00参数面板'!$C$41</f>
        <v/>
      </c>
      <c r="G13" s="64">
        <f>'00参数面板'!$D$41</f>
        <v/>
      </c>
      <c r="H13" s="67">
        <f>('00参数面板'!$C$34/'00参数面板'!$E$34)*'00参数面板'!$C$41</f>
        <v/>
      </c>
      <c r="I13" s="66">
        <f>('00参数面板'!$C$34/'00参数面板'!$E$34)*'00参数面板'!$C$41/'00参数面板'!$C$34</f>
        <v/>
      </c>
      <c r="J13" s="68">
        <f>'00参数面板'!$F$34</f>
        <v/>
      </c>
      <c r="K13" s="67">
        <f>'00参数面板'!$F$34*30</f>
        <v/>
      </c>
      <c r="L13" s="67">
        <f>'00参数面板'!$H$34*'00参数面板'!$C$41</f>
        <v/>
      </c>
      <c r="M13" s="67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3" s="67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3" s="67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3" s="215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3" s="67">
        <f>(('00参数面板'!$C$34/'00参数面板'!$E$34)*'00参数面板'!$C$41)+'00参数面板'!$F$34*30+'00参数面板'!$H$34*'00参数面板'!$C$41</f>
        <v/>
      </c>
      <c r="R13" s="66">
        <f>((('00参数面板'!$C$34/'00参数面板'!$E$34)*'00参数面板'!$C$41)+'00参数面板'!$F$34*30+'00参数面板'!$H$34*'00参数面板'!$C$41)/'00参数面板'!$C$34</f>
        <v/>
      </c>
    </row>
    <row r="14" ht="21" customHeight="1">
      <c r="A14" s="69">
        <f>'00参数面板'!$A$34</f>
        <v/>
      </c>
      <c r="B14" s="70">
        <f>'00参数面板'!$C$34</f>
        <v/>
      </c>
      <c r="C14" s="71">
        <f>'00参数面板'!$E$34</f>
        <v/>
      </c>
      <c r="D14" s="72">
        <f>'00参数面板'!$C$34/'00参数面板'!$E$34</f>
        <v/>
      </c>
      <c r="E14" s="69">
        <f>'00参数面板'!$A$42</f>
        <v/>
      </c>
      <c r="F14" s="71">
        <f>'00参数面板'!$C$42</f>
        <v/>
      </c>
      <c r="G14" s="71">
        <f>'00参数面板'!$D$42</f>
        <v/>
      </c>
      <c r="H14" s="74">
        <f>('00参数面板'!$C$34/'00参数面板'!$E$34)*'00参数面板'!$C$42</f>
        <v/>
      </c>
      <c r="I14" s="73">
        <f>('00参数面板'!$C$34/'00参数面板'!$E$34)*'00参数面板'!$C$42/'00参数面板'!$C$34</f>
        <v/>
      </c>
      <c r="J14" s="75">
        <f>'00参数面板'!$F$34</f>
        <v/>
      </c>
      <c r="K14" s="74">
        <f>'00参数面板'!$F$34*30</f>
        <v/>
      </c>
      <c r="L14" s="74">
        <f>'00参数面板'!$H$34*'00参数面板'!$C$42</f>
        <v/>
      </c>
      <c r="M14" s="74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4" s="74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4" s="74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4" s="289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4" s="74">
        <f>(('00参数面板'!$C$34/'00参数面板'!$E$34)*'00参数面板'!$C$42)+'00参数面板'!$F$34*30+'00参数面板'!$H$34*'00参数面板'!$C$42</f>
        <v/>
      </c>
      <c r="R14" s="73">
        <f>((('00参数面板'!$C$34/'00参数面板'!$E$34)*'00参数面板'!$C$42)+'00参数面板'!$F$34*30+'00参数面板'!$H$34*'00参数面板'!$C$42)/'00参数面板'!$C$34</f>
        <v/>
      </c>
    </row>
    <row r="15" ht="21" customHeight="1">
      <c r="A15" s="76">
        <f>'00参数面板'!$A$34</f>
        <v/>
      </c>
      <c r="B15" s="77">
        <f>'00参数面板'!$C$34</f>
        <v/>
      </c>
      <c r="C15" s="78">
        <f>'00参数面板'!$E$34</f>
        <v/>
      </c>
      <c r="D15" s="79">
        <f>'00参数面板'!$C$34/'00参数面板'!$E$34</f>
        <v/>
      </c>
      <c r="E15" s="76">
        <f>'00参数面板'!$A$43</f>
        <v/>
      </c>
      <c r="F15" s="78">
        <f>'00参数面板'!$C$43</f>
        <v/>
      </c>
      <c r="G15" s="78">
        <f>'00参数面板'!$D$43</f>
        <v/>
      </c>
      <c r="H15" s="81">
        <f>('00参数面板'!$C$34/'00参数面板'!$E$34)*'00参数面板'!$C$43</f>
        <v/>
      </c>
      <c r="I15" s="80">
        <f>('00参数面板'!$C$34/'00参数面板'!$E$34)*'00参数面板'!$C$43/'00参数面板'!$C$34</f>
        <v/>
      </c>
      <c r="J15" s="82">
        <f>'00参数面板'!$F$34</f>
        <v/>
      </c>
      <c r="K15" s="81">
        <f>'00参数面板'!$F$34*30</f>
        <v/>
      </c>
      <c r="L15" s="81">
        <f>'00参数面板'!$H$34*'00参数面板'!$C$43</f>
        <v/>
      </c>
      <c r="M15" s="81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5" s="81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5" s="81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5" s="218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5" s="81">
        <f>(('00参数面板'!$C$34/'00参数面板'!$E$34)*'00参数面板'!$C$43)+'00参数面板'!$F$34*30+'00参数面板'!$H$34*'00参数面板'!$C$43</f>
        <v/>
      </c>
      <c r="R15" s="80">
        <f>((('00参数面板'!$C$34/'00参数面板'!$E$34)*'00参数面板'!$C$43)+'00参数面板'!$F$34*30+'00参数面板'!$H$34*'00参数面板'!$C$43)/'00参数面板'!$C$34</f>
        <v/>
      </c>
    </row>
    <row r="16" ht="21" customHeight="1">
      <c r="A16" s="83">
        <f>'00参数面板'!$A$34</f>
        <v/>
      </c>
      <c r="B16" s="84">
        <f>'00参数面板'!$C$34</f>
        <v/>
      </c>
      <c r="C16" s="85">
        <f>'00参数面板'!$E$34</f>
        <v/>
      </c>
      <c r="D16" s="86">
        <f>'00参数面板'!$C$34/'00参数面板'!$E$34</f>
        <v/>
      </c>
      <c r="E16" s="83">
        <f>'00参数面板'!$A$44</f>
        <v/>
      </c>
      <c r="F16" s="85">
        <f>'00参数面板'!$C$44</f>
        <v/>
      </c>
      <c r="G16" s="85">
        <f>'00参数面板'!$D$44</f>
        <v/>
      </c>
      <c r="H16" s="88">
        <f>('00参数面板'!$C$34/'00参数面板'!$E$34)*'00参数面板'!$C$44</f>
        <v/>
      </c>
      <c r="I16" s="87">
        <f>('00参数面板'!$C$34/'00参数面板'!$E$34)*'00参数面板'!$C$44/'00参数面板'!$C$34</f>
        <v/>
      </c>
      <c r="J16" s="89">
        <f>'00参数面板'!$F$34</f>
        <v/>
      </c>
      <c r="K16" s="88">
        <f>'00参数面板'!$F$34*30</f>
        <v/>
      </c>
      <c r="L16" s="88">
        <f>'00参数面板'!$H$34*'00参数面板'!$C$44</f>
        <v/>
      </c>
      <c r="M16" s="88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6" s="88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6" s="88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6" s="290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6" s="88">
        <f>(('00参数面板'!$C$34/'00参数面板'!$E$34)*'00参数面板'!$C$44)+'00参数面板'!$F$34*30+'00参数面板'!$H$34*'00参数面板'!$C$44</f>
        <v/>
      </c>
      <c r="R16" s="87">
        <f>((('00参数面板'!$C$34/'00参数面板'!$E$34)*'00参数面板'!$C$44)+'00参数面板'!$F$34*30+'00参数面板'!$H$34*'00参数面板'!$C$44)/'00参数面板'!$C$34</f>
        <v/>
      </c>
    </row>
    <row r="17" ht="21" customHeight="1">
      <c r="A17" s="90">
        <f>'00参数面板'!$A$34</f>
        <v/>
      </c>
      <c r="B17" s="91">
        <f>'00参数面板'!$C$34</f>
        <v/>
      </c>
      <c r="C17" s="92">
        <f>'00参数面板'!$E$34</f>
        <v/>
      </c>
      <c r="D17" s="93">
        <f>'00参数面板'!$C$34/'00参数面板'!$E$34</f>
        <v/>
      </c>
      <c r="E17" s="90">
        <f>'00参数面板'!$A$45</f>
        <v/>
      </c>
      <c r="F17" s="50">
        <f>'00参数面板'!$C$45</f>
        <v/>
      </c>
      <c r="G17" s="50">
        <f>'00参数面板'!$D$45</f>
        <v/>
      </c>
      <c r="H17" s="95">
        <f>('00参数面板'!$C$34/'00参数面板'!$E$34)*'00参数面板'!$C$45</f>
        <v/>
      </c>
      <c r="I17" s="94">
        <f>('00参数面板'!$C$34/'00参数面板'!$E$34)*'00参数面板'!$C$45/'00参数面板'!$C$34</f>
        <v/>
      </c>
      <c r="J17" s="96">
        <f>'00参数面板'!$F$34</f>
        <v/>
      </c>
      <c r="K17" s="95">
        <f>'00参数面板'!$F$34*30</f>
        <v/>
      </c>
      <c r="L17" s="95">
        <f>'00参数面板'!$H$34*'00参数面板'!$C$45</f>
        <v/>
      </c>
      <c r="M17" s="95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7" s="95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7" s="95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7" s="221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7" s="95">
        <f>(('00参数面板'!$C$34/'00参数面板'!$E$34)*'00参数面板'!$C$45)+'00参数面板'!$F$34*30+'00参数面板'!$H$34*'00参数面板'!$C$45</f>
        <v/>
      </c>
      <c r="R17" s="94">
        <f>((('00参数面板'!$C$34/'00参数面板'!$E$34)*'00参数面板'!$C$45)+'00参数面板'!$F$34*30+'00参数面板'!$H$34*'00参数面板'!$C$45)/'00参数面板'!$C$34</f>
        <v/>
      </c>
    </row>
    <row r="18" ht="21" customHeight="1">
      <c r="A18" s="97">
        <f>'00参数面板'!$A$34</f>
        <v/>
      </c>
      <c r="B18" s="98">
        <f>'00参数面板'!$C$34</f>
        <v/>
      </c>
      <c r="C18" s="99">
        <f>'00参数面板'!$E$34</f>
        <v/>
      </c>
      <c r="D18" s="100">
        <f>'00参数面板'!$C$34/'00参数面板'!$E$34</f>
        <v/>
      </c>
      <c r="E18" s="97">
        <f>'00参数面板'!$A$46</f>
        <v/>
      </c>
      <c r="F18" s="50">
        <f>'00参数面板'!$C$46</f>
        <v/>
      </c>
      <c r="G18" s="50">
        <f>'00参数面板'!$D$46</f>
        <v/>
      </c>
      <c r="H18" s="102">
        <f>('00参数面板'!$C$34/'00参数面板'!$E$34)*'00参数面板'!$C$46</f>
        <v/>
      </c>
      <c r="I18" s="101">
        <f>('00参数面板'!$C$34/'00参数面板'!$E$34)*'00参数面板'!$C$46/'00参数面板'!$C$34</f>
        <v/>
      </c>
      <c r="J18" s="103">
        <f>'00参数面板'!$F$34</f>
        <v/>
      </c>
      <c r="K18" s="102">
        <f>'00参数面板'!$F$34*30</f>
        <v/>
      </c>
      <c r="L18" s="102">
        <f>'00参数面板'!$H$34*'00参数面板'!$C$46</f>
        <v/>
      </c>
      <c r="M18" s="102">
        <f>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N18" s="102">
        <f>2500000*0.05*0.4*(('00参数面板'!$G$34*'00参数面板'!$D$34)/('00参数面板'!$D$33*'00参数面板'!$G$33+'00参数面板'!$D$34*'00参数面板'!$G$34+'00参数面板'!$D$35*'00参数面板'!$G$35+'00参数面板'!$D$36*'00参数面板'!$G$36))/'00参数面板'!$D$34</f>
        <v/>
      </c>
      <c r="O18" s="102">
        <f>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</f>
        <v/>
      </c>
      <c r="P18" s="231">
        <f>('00参数面板'!$F$34*30/30*30+2500000*0.05*0.4*(('00参数面板'!$G$34*'00参数面板'!$D$34)/('00参数面板'!$D$33*'00参数面板'!$G$33+'00参数面板'!$D$34*'00参数面板'!$G$34+'00参数面板'!$D$35*'00参数面板'!$G$35+'00参数面板'!$D$36*'00参数面板'!$G$36))/'00参数面板'!$D$34+500000*(('00参数面板'!$G$34*'00参数面板'!$D$34)/('00参数面板'!$D$33*'00参数面板'!$G$33+'00参数面板'!$D$34*'00参数面板'!$G$34+'00参数面板'!$D$35*'00参数面板'!$G$35+'00参数面板'!$D$36*'00参数面板'!$G$36))/'00参数面板'!$D$34/12)/'00参数面板'!$C$34</f>
        <v/>
      </c>
      <c r="Q18" s="102">
        <f>(('00参数面板'!$C$34/'00参数面板'!$E$34)*'00参数面板'!$C$46)+'00参数面板'!$F$34*30+'00参数面板'!$H$34*'00参数面板'!$C$46</f>
        <v/>
      </c>
      <c r="R18" s="101">
        <f>((('00参数面板'!$C$34/'00参数面板'!$E$34)*'00参数面板'!$C$46)+'00参数面板'!$F$34*30+'00参数面板'!$H$34*'00参数面板'!$C$46)/'00参数面板'!$C$34</f>
        <v/>
      </c>
    </row>
    <row r="19" ht="4" customHeight="1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</row>
    <row r="20" ht="21" customHeight="1">
      <c r="A20" s="104">
        <f>'00参数面板'!$A$35</f>
        <v/>
      </c>
      <c r="B20" s="105">
        <f>'00参数面板'!$C$35</f>
        <v/>
      </c>
      <c r="C20" s="106">
        <f>'00参数面板'!$E$35</f>
        <v/>
      </c>
      <c r="D20" s="107">
        <f>'00参数面板'!$C$35/'00参数面板'!$E$35</f>
        <v/>
      </c>
      <c r="E20" s="104">
        <f>'00参数面板'!$A$41</f>
        <v/>
      </c>
      <c r="F20" s="106">
        <f>'00参数面板'!$C$41</f>
        <v/>
      </c>
      <c r="G20" s="106">
        <f>'00参数面板'!$D$41</f>
        <v/>
      </c>
      <c r="H20" s="109">
        <f>('00参数面板'!$C$35/'00参数面板'!$E$35)*'00参数面板'!$C$41</f>
        <v/>
      </c>
      <c r="I20" s="108">
        <f>('00参数面板'!$C$35/'00参数面板'!$E$35)*'00参数面板'!$C$41/'00参数面板'!$C$35</f>
        <v/>
      </c>
      <c r="J20" s="110">
        <f>'00参数面板'!$F$35</f>
        <v/>
      </c>
      <c r="K20" s="109">
        <f>'00参数面板'!$F$35*30</f>
        <v/>
      </c>
      <c r="L20" s="109">
        <f>'00参数面板'!$H$35*'00参数面板'!$C$41</f>
        <v/>
      </c>
      <c r="M20" s="109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0" s="109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0" s="109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0" s="240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0" s="109">
        <f>(('00参数面板'!$C$35/'00参数面板'!$E$35)*'00参数面板'!$C$41)+'00参数面板'!$F$35*30+'00参数面板'!$H$35*'00参数面板'!$C$41</f>
        <v/>
      </c>
      <c r="R20" s="108">
        <f>((('00参数面板'!$C$35/'00参数面板'!$E$35)*'00参数面板'!$C$41)+'00参数面板'!$F$35*30+'00参数面板'!$H$35*'00参数面板'!$C$41)/'00参数面板'!$C$35</f>
        <v/>
      </c>
    </row>
    <row r="21" ht="21" customHeight="1">
      <c r="A21" s="111">
        <f>'00参数面板'!$A$35</f>
        <v/>
      </c>
      <c r="B21" s="112">
        <f>'00参数面板'!$C$35</f>
        <v/>
      </c>
      <c r="C21" s="113">
        <f>'00参数面板'!$E$35</f>
        <v/>
      </c>
      <c r="D21" s="114">
        <f>'00参数面板'!$C$35/'00参数面板'!$E$35</f>
        <v/>
      </c>
      <c r="E21" s="111">
        <f>'00参数面板'!$A$42</f>
        <v/>
      </c>
      <c r="F21" s="113">
        <f>'00参数面板'!$C$42</f>
        <v/>
      </c>
      <c r="G21" s="113">
        <f>'00参数面板'!$D$42</f>
        <v/>
      </c>
      <c r="H21" s="116">
        <f>('00参数面板'!$C$35/'00参数面板'!$E$35)*'00参数面板'!$C$42</f>
        <v/>
      </c>
      <c r="I21" s="115">
        <f>('00参数面板'!$C$35/'00参数面板'!$E$35)*'00参数面板'!$C$42/'00参数面板'!$C$35</f>
        <v/>
      </c>
      <c r="J21" s="117">
        <f>'00参数面板'!$F$35</f>
        <v/>
      </c>
      <c r="K21" s="116">
        <f>'00参数面板'!$F$35*30</f>
        <v/>
      </c>
      <c r="L21" s="116">
        <f>'00参数面板'!$H$35*'00参数面板'!$C$42</f>
        <v/>
      </c>
      <c r="M21" s="116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1" s="116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1" s="116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1" s="291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1" s="116">
        <f>(('00参数面板'!$C$35/'00参数面板'!$E$35)*'00参数面板'!$C$42)+'00参数面板'!$F$35*30+'00参数面板'!$H$35*'00参数面板'!$C$42</f>
        <v/>
      </c>
      <c r="R21" s="115">
        <f>((('00参数面板'!$C$35/'00参数面板'!$E$35)*'00参数面板'!$C$42)+'00参数面板'!$F$35*30+'00参数面板'!$H$35*'00参数面板'!$C$42)/'00参数面板'!$C$35</f>
        <v/>
      </c>
    </row>
    <row r="22" ht="21" customHeight="1">
      <c r="A22" s="118">
        <f>'00参数面板'!$A$35</f>
        <v/>
      </c>
      <c r="B22" s="119">
        <f>'00参数面板'!$C$35</f>
        <v/>
      </c>
      <c r="C22" s="120">
        <f>'00参数面板'!$E$35</f>
        <v/>
      </c>
      <c r="D22" s="121">
        <f>'00参数面板'!$C$35/'00参数面板'!$E$35</f>
        <v/>
      </c>
      <c r="E22" s="118">
        <f>'00参数面板'!$A$43</f>
        <v/>
      </c>
      <c r="F22" s="120">
        <f>'00参数面板'!$C$43</f>
        <v/>
      </c>
      <c r="G22" s="120">
        <f>'00参数面板'!$D$43</f>
        <v/>
      </c>
      <c r="H22" s="123">
        <f>('00参数面板'!$C$35/'00参数面板'!$E$35)*'00参数面板'!$C$43</f>
        <v/>
      </c>
      <c r="I22" s="122">
        <f>('00参数面板'!$C$35/'00参数面板'!$E$35)*'00参数面板'!$C$43/'00参数面板'!$C$35</f>
        <v/>
      </c>
      <c r="J22" s="124">
        <f>'00参数面板'!$F$35</f>
        <v/>
      </c>
      <c r="K22" s="123">
        <f>'00参数面板'!$F$35*30</f>
        <v/>
      </c>
      <c r="L22" s="123">
        <f>'00参数面板'!$H$35*'00参数面板'!$C$43</f>
        <v/>
      </c>
      <c r="M22" s="123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2" s="123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2" s="123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2" s="243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2" s="123">
        <f>(('00参数面板'!$C$35/'00参数面板'!$E$35)*'00参数面板'!$C$43)+'00参数面板'!$F$35*30+'00参数面板'!$H$35*'00参数面板'!$C$43</f>
        <v/>
      </c>
      <c r="R22" s="122">
        <f>((('00参数面板'!$C$35/'00参数面板'!$E$35)*'00参数面板'!$C$43)+'00参数面板'!$F$35*30+'00参数面板'!$H$35*'00参数面板'!$C$43)/'00参数面板'!$C$35</f>
        <v/>
      </c>
    </row>
    <row r="23" ht="21" customHeight="1">
      <c r="A23" s="125">
        <f>'00参数面板'!$A$35</f>
        <v/>
      </c>
      <c r="B23" s="126">
        <f>'00参数面板'!$C$35</f>
        <v/>
      </c>
      <c r="C23" s="127">
        <f>'00参数面板'!$E$35</f>
        <v/>
      </c>
      <c r="D23" s="128">
        <f>'00参数面板'!$C$35/'00参数面板'!$E$35</f>
        <v/>
      </c>
      <c r="E23" s="125">
        <f>'00参数面板'!$A$44</f>
        <v/>
      </c>
      <c r="F23" s="127">
        <f>'00参数面板'!$C$44</f>
        <v/>
      </c>
      <c r="G23" s="127">
        <f>'00参数面板'!$D$44</f>
        <v/>
      </c>
      <c r="H23" s="130">
        <f>('00参数面板'!$C$35/'00参数面板'!$E$35)*'00参数面板'!$C$44</f>
        <v/>
      </c>
      <c r="I23" s="129">
        <f>('00参数面板'!$C$35/'00参数面板'!$E$35)*'00参数面板'!$C$44/'00参数面板'!$C$35</f>
        <v/>
      </c>
      <c r="J23" s="131">
        <f>'00参数面板'!$F$35</f>
        <v/>
      </c>
      <c r="K23" s="130">
        <f>'00参数面板'!$F$35*30</f>
        <v/>
      </c>
      <c r="L23" s="130">
        <f>'00参数面板'!$H$35*'00参数面板'!$C$44</f>
        <v/>
      </c>
      <c r="M23" s="130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3" s="130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3" s="130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3" s="292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3" s="130">
        <f>(('00参数面板'!$C$35/'00参数面板'!$E$35)*'00参数面板'!$C$44)+'00参数面板'!$F$35*30+'00参数面板'!$H$35*'00参数面板'!$C$44</f>
        <v/>
      </c>
      <c r="R23" s="129">
        <f>((('00参数面板'!$C$35/'00参数面板'!$E$35)*'00参数面板'!$C$44)+'00参数面板'!$F$35*30+'00参数面板'!$H$35*'00参数面板'!$C$44)/'00参数面板'!$C$35</f>
        <v/>
      </c>
    </row>
    <row r="24" ht="21" customHeight="1">
      <c r="A24" s="132">
        <f>'00参数面板'!$A$35</f>
        <v/>
      </c>
      <c r="B24" s="133">
        <f>'00参数面板'!$C$35</f>
        <v/>
      </c>
      <c r="C24" s="134">
        <f>'00参数面板'!$E$35</f>
        <v/>
      </c>
      <c r="D24" s="135">
        <f>'00参数面板'!$C$35/'00参数面板'!$E$35</f>
        <v/>
      </c>
      <c r="E24" s="132">
        <f>'00参数面板'!$A$45</f>
        <v/>
      </c>
      <c r="F24" s="50">
        <f>'00参数面板'!$C$45</f>
        <v/>
      </c>
      <c r="G24" s="50">
        <f>'00参数面板'!$D$45</f>
        <v/>
      </c>
      <c r="H24" s="137">
        <f>('00参数面板'!$C$35/'00参数面板'!$E$35)*'00参数面板'!$C$45</f>
        <v/>
      </c>
      <c r="I24" s="136">
        <f>('00参数面板'!$C$35/'00参数面板'!$E$35)*'00参数面板'!$C$45/'00参数面板'!$C$35</f>
        <v/>
      </c>
      <c r="J24" s="138">
        <f>'00参数面板'!$F$35</f>
        <v/>
      </c>
      <c r="K24" s="137">
        <f>'00参数面板'!$F$35*30</f>
        <v/>
      </c>
      <c r="L24" s="137">
        <f>'00参数面板'!$H$35*'00参数面板'!$C$45</f>
        <v/>
      </c>
      <c r="M24" s="137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4" s="137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4" s="137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4" s="246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4" s="137">
        <f>(('00参数面板'!$C$35/'00参数面板'!$E$35)*'00参数面板'!$C$45)+'00参数面板'!$F$35*30+'00参数面板'!$H$35*'00参数面板'!$C$45</f>
        <v/>
      </c>
      <c r="R24" s="136">
        <f>((('00参数面板'!$C$35/'00参数面板'!$E$35)*'00参数面板'!$C$45)+'00参数面板'!$F$35*30+'00参数面板'!$H$35*'00参数面板'!$C$45)/'00参数面板'!$C$35</f>
        <v/>
      </c>
    </row>
    <row r="25" ht="21" customHeight="1">
      <c r="A25" s="139">
        <f>'00参数面板'!$A$35</f>
        <v/>
      </c>
      <c r="B25" s="140">
        <f>'00参数面板'!$C$35</f>
        <v/>
      </c>
      <c r="C25" s="141">
        <f>'00参数面板'!$E$35</f>
        <v/>
      </c>
      <c r="D25" s="142">
        <f>'00参数面板'!$C$35/'00参数面板'!$E$35</f>
        <v/>
      </c>
      <c r="E25" s="139">
        <f>'00参数面板'!$A$46</f>
        <v/>
      </c>
      <c r="F25" s="50">
        <f>'00参数面板'!$C$46</f>
        <v/>
      </c>
      <c r="G25" s="50">
        <f>'00参数面板'!$D$46</f>
        <v/>
      </c>
      <c r="H25" s="144">
        <f>('00参数面板'!$C$35/'00参数面板'!$E$35)*'00参数面板'!$C$46</f>
        <v/>
      </c>
      <c r="I25" s="143">
        <f>('00参数面板'!$C$35/'00参数面板'!$E$35)*'00参数面板'!$C$46/'00参数面板'!$C$35</f>
        <v/>
      </c>
      <c r="J25" s="145">
        <f>'00参数面板'!$F$35</f>
        <v/>
      </c>
      <c r="K25" s="144">
        <f>'00参数面板'!$F$35*30</f>
        <v/>
      </c>
      <c r="L25" s="144">
        <f>'00参数面板'!$H$35*'00参数面板'!$C$46</f>
        <v/>
      </c>
      <c r="M25" s="144">
        <f>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N25" s="144">
        <f>2500000*0.05*0.4*(('00参数面板'!$G$35*'00参数面板'!$D$35)/('00参数面板'!$D$33*'00参数面板'!$G$33+'00参数面板'!$D$34*'00参数面板'!$G$34+'00参数面板'!$D$35*'00参数面板'!$G$35+'00参数面板'!$D$36*'00参数面板'!$G$36))/'00参数面板'!$D$35</f>
        <v/>
      </c>
      <c r="O25" s="144">
        <f>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</f>
        <v/>
      </c>
      <c r="P25" s="249">
        <f>('00参数面板'!$F$35*30/30*30+2500000*0.05*0.4*(('00参数面板'!$G$35*'00参数面板'!$D$35)/('00参数面板'!$D$33*'00参数面板'!$G$33+'00参数面板'!$D$34*'00参数面板'!$G$34+'00参数面板'!$D$35*'00参数面板'!$G$35+'00参数面板'!$D$36*'00参数面板'!$G$36))/'00参数面板'!$D$35+500000*(('00参数面板'!$G$35*'00参数面板'!$D$35)/('00参数面板'!$D$33*'00参数面板'!$G$33+'00参数面板'!$D$34*'00参数面板'!$G$34+'00参数面板'!$D$35*'00参数面板'!$G$35+'00参数面板'!$D$36*'00参数面板'!$G$36))/'00参数面板'!$D$35/12)/'00参数面板'!$C$35</f>
        <v/>
      </c>
      <c r="Q25" s="144">
        <f>(('00参数面板'!$C$35/'00参数面板'!$E$35)*'00参数面板'!$C$46)+'00参数面板'!$F$35*30+'00参数面板'!$H$35*'00参数面板'!$C$46</f>
        <v/>
      </c>
      <c r="R25" s="143">
        <f>((('00参数面板'!$C$35/'00参数面板'!$E$35)*'00参数面板'!$C$46)+'00参数面板'!$F$35*30+'00参数面板'!$H$35*'00参数面板'!$C$46)/'00参数面板'!$C$35</f>
        <v/>
      </c>
    </row>
    <row r="26" ht="4" customHeight="1">
      <c r="A26" s="61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</row>
    <row r="27" ht="21" customHeight="1">
      <c r="A27" s="146">
        <f>'00参数面板'!$A$36</f>
        <v/>
      </c>
      <c r="B27" s="147">
        <f>'00参数面板'!$C$36</f>
        <v/>
      </c>
      <c r="C27" s="148">
        <f>'00参数面板'!$E$36</f>
        <v/>
      </c>
      <c r="D27" s="149">
        <f>'00参数面板'!$C$36/'00参数面板'!$E$36</f>
        <v/>
      </c>
      <c r="E27" s="146">
        <f>'00参数面板'!$A$41</f>
        <v/>
      </c>
      <c r="F27" s="148">
        <f>'00参数面板'!$C$41</f>
        <v/>
      </c>
      <c r="G27" s="148">
        <f>'00参数面板'!$D$41</f>
        <v/>
      </c>
      <c r="H27" s="151">
        <f>('00参数面板'!$C$36/'00参数面板'!$E$36)*'00参数面板'!$C$41</f>
        <v/>
      </c>
      <c r="I27" s="150">
        <f>('00参数面板'!$C$36/'00参数面板'!$E$36)*'00参数面板'!$C$41/'00参数面板'!$C$36</f>
        <v/>
      </c>
      <c r="J27" s="152">
        <f>'00参数面板'!$F$36</f>
        <v/>
      </c>
      <c r="K27" s="151">
        <f>'00参数面板'!$F$36*30</f>
        <v/>
      </c>
      <c r="L27" s="151">
        <f>'00参数面板'!$H$36*'00参数面板'!$C$41</f>
        <v/>
      </c>
      <c r="M27" s="151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27" s="151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27" s="151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27" s="264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27" s="151">
        <f>(('00参数面板'!$C$36/'00参数面板'!$E$36)*'00参数面板'!$C$41)+'00参数面板'!$F$36*30+'00参数面板'!$H$36*'00参数面板'!$C$41</f>
        <v/>
      </c>
      <c r="R27" s="150">
        <f>((('00参数面板'!$C$36/'00参数面板'!$E$36)*'00参数面板'!$C$41)+'00参数面板'!$F$36*30+'00参数面板'!$H$36*'00参数面板'!$C$41)/'00参数面板'!$C$36</f>
        <v/>
      </c>
    </row>
    <row r="28" ht="21" customHeight="1">
      <c r="A28" s="153">
        <f>'00参数面板'!$A$36</f>
        <v/>
      </c>
      <c r="B28" s="154">
        <f>'00参数面板'!$C$36</f>
        <v/>
      </c>
      <c r="C28" s="155">
        <f>'00参数面板'!$E$36</f>
        <v/>
      </c>
      <c r="D28" s="156">
        <f>'00参数面板'!$C$36/'00参数面板'!$E$36</f>
        <v/>
      </c>
      <c r="E28" s="153">
        <f>'00参数面板'!$A$42</f>
        <v/>
      </c>
      <c r="F28" s="155">
        <f>'00参数面板'!$C$42</f>
        <v/>
      </c>
      <c r="G28" s="155">
        <f>'00参数面板'!$D$42</f>
        <v/>
      </c>
      <c r="H28" s="158">
        <f>('00参数面板'!$C$36/'00参数面板'!$E$36)*'00参数面板'!$C$42</f>
        <v/>
      </c>
      <c r="I28" s="157">
        <f>('00参数面板'!$C$36/'00参数面板'!$E$36)*'00参数面板'!$C$42/'00参数面板'!$C$36</f>
        <v/>
      </c>
      <c r="J28" s="159">
        <f>'00参数面板'!$F$36</f>
        <v/>
      </c>
      <c r="K28" s="158">
        <f>'00参数面板'!$F$36*30</f>
        <v/>
      </c>
      <c r="L28" s="158">
        <f>'00参数面板'!$H$36*'00参数面板'!$C$42</f>
        <v/>
      </c>
      <c r="M28" s="158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28" s="158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28" s="158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28" s="293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28" s="158">
        <f>(('00参数面板'!$C$36/'00参数面板'!$E$36)*'00参数面板'!$C$42)+'00参数面板'!$F$36*30+'00参数面板'!$H$36*'00参数面板'!$C$42</f>
        <v/>
      </c>
      <c r="R28" s="157">
        <f>((('00参数面板'!$C$36/'00参数面板'!$E$36)*'00参数面板'!$C$42)+'00参数面板'!$F$36*30+'00参数面板'!$H$36*'00参数面板'!$C$42)/'00参数面板'!$C$36</f>
        <v/>
      </c>
    </row>
    <row r="29" ht="21" customHeight="1">
      <c r="A29" s="160">
        <f>'00参数面板'!$A$36</f>
        <v/>
      </c>
      <c r="B29" s="161">
        <f>'00参数面板'!$C$36</f>
        <v/>
      </c>
      <c r="C29" s="162">
        <f>'00参数面板'!$E$36</f>
        <v/>
      </c>
      <c r="D29" s="163">
        <f>'00参数面板'!$C$36/'00参数面板'!$E$36</f>
        <v/>
      </c>
      <c r="E29" s="160">
        <f>'00参数面板'!$A$43</f>
        <v/>
      </c>
      <c r="F29" s="162">
        <f>'00参数面板'!$C$43</f>
        <v/>
      </c>
      <c r="G29" s="162">
        <f>'00参数面板'!$D$43</f>
        <v/>
      </c>
      <c r="H29" s="165">
        <f>('00参数面板'!$C$36/'00参数面板'!$E$36)*'00参数面板'!$C$43</f>
        <v/>
      </c>
      <c r="I29" s="164">
        <f>('00参数面板'!$C$36/'00参数面板'!$E$36)*'00参数面板'!$C$43/'00参数面板'!$C$36</f>
        <v/>
      </c>
      <c r="J29" s="166">
        <f>'00参数面板'!$F$36</f>
        <v/>
      </c>
      <c r="K29" s="165">
        <f>'00参数面板'!$F$36*30</f>
        <v/>
      </c>
      <c r="L29" s="165">
        <f>'00参数面板'!$H$36*'00参数面板'!$C$43</f>
        <v/>
      </c>
      <c r="M29" s="165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29" s="165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29" s="165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29" s="267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29" s="165">
        <f>(('00参数面板'!$C$36/'00参数面板'!$E$36)*'00参数面板'!$C$43)+'00参数面板'!$F$36*30+'00参数面板'!$H$36*'00参数面板'!$C$43</f>
        <v/>
      </c>
      <c r="R29" s="164">
        <f>((('00参数面板'!$C$36/'00参数面板'!$E$36)*'00参数面板'!$C$43)+'00参数面板'!$F$36*30+'00参数面板'!$H$36*'00参数面板'!$C$43)/'00参数面板'!$C$36</f>
        <v/>
      </c>
    </row>
    <row r="30" ht="21" customHeight="1">
      <c r="A30" s="167">
        <f>'00参数面板'!$A$36</f>
        <v/>
      </c>
      <c r="B30" s="168">
        <f>'00参数面板'!$C$36</f>
        <v/>
      </c>
      <c r="C30" s="169">
        <f>'00参数面板'!$E$36</f>
        <v/>
      </c>
      <c r="D30" s="170">
        <f>'00参数面板'!$C$36/'00参数面板'!$E$36</f>
        <v/>
      </c>
      <c r="E30" s="167">
        <f>'00参数面板'!$A$44</f>
        <v/>
      </c>
      <c r="F30" s="169">
        <f>'00参数面板'!$C$44</f>
        <v/>
      </c>
      <c r="G30" s="169">
        <f>'00参数面板'!$D$44</f>
        <v/>
      </c>
      <c r="H30" s="172">
        <f>('00参数面板'!$C$36/'00参数面板'!$E$36)*'00参数面板'!$C$44</f>
        <v/>
      </c>
      <c r="I30" s="171">
        <f>('00参数面板'!$C$36/'00参数面板'!$E$36)*'00参数面板'!$C$44/'00参数面板'!$C$36</f>
        <v/>
      </c>
      <c r="J30" s="173">
        <f>'00参数面板'!$F$36</f>
        <v/>
      </c>
      <c r="K30" s="172">
        <f>'00参数面板'!$F$36*30</f>
        <v/>
      </c>
      <c r="L30" s="172">
        <f>'00参数面板'!$H$36*'00参数面板'!$C$44</f>
        <v/>
      </c>
      <c r="M30" s="172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30" s="172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30" s="172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30" s="294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30" s="172">
        <f>(('00参数面板'!$C$36/'00参数面板'!$E$36)*'00参数面板'!$C$44)+'00参数面板'!$F$36*30+'00参数面板'!$H$36*'00参数面板'!$C$44</f>
        <v/>
      </c>
      <c r="R30" s="171">
        <f>((('00参数面板'!$C$36/'00参数面板'!$E$36)*'00参数面板'!$C$44)+'00参数面板'!$F$36*30+'00参数面板'!$H$36*'00参数面板'!$C$44)/'00参数面板'!$C$36</f>
        <v/>
      </c>
    </row>
    <row r="31" ht="21" customHeight="1">
      <c r="A31" s="174">
        <f>'00参数面板'!$A$36</f>
        <v/>
      </c>
      <c r="B31" s="175">
        <f>'00参数面板'!$C$36</f>
        <v/>
      </c>
      <c r="C31" s="176">
        <f>'00参数面板'!$E$36</f>
        <v/>
      </c>
      <c r="D31" s="177">
        <f>'00参数面板'!$C$36/'00参数面板'!$E$36</f>
        <v/>
      </c>
      <c r="E31" s="174">
        <f>'00参数面板'!$A$45</f>
        <v/>
      </c>
      <c r="F31" s="50">
        <f>'00参数面板'!$C$45</f>
        <v/>
      </c>
      <c r="G31" s="50">
        <f>'00参数面板'!$D$45</f>
        <v/>
      </c>
      <c r="H31" s="179">
        <f>('00参数面板'!$C$36/'00参数面板'!$E$36)*'00参数面板'!$C$45</f>
        <v/>
      </c>
      <c r="I31" s="178">
        <f>('00参数面板'!$C$36/'00参数面板'!$E$36)*'00参数面板'!$C$45/'00参数面板'!$C$36</f>
        <v/>
      </c>
      <c r="J31" s="180">
        <f>'00参数面板'!$F$36</f>
        <v/>
      </c>
      <c r="K31" s="179">
        <f>'00参数面板'!$F$36*30</f>
        <v/>
      </c>
      <c r="L31" s="179">
        <f>'00参数面板'!$H$36*'00参数面板'!$C$45</f>
        <v/>
      </c>
      <c r="M31" s="179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31" s="179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31" s="179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31" s="270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31" s="179">
        <f>(('00参数面板'!$C$36/'00参数面板'!$E$36)*'00参数面板'!$C$45)+'00参数面板'!$F$36*30+'00参数面板'!$H$36*'00参数面板'!$C$45</f>
        <v/>
      </c>
      <c r="R31" s="178">
        <f>((('00参数面板'!$C$36/'00参数面板'!$E$36)*'00参数面板'!$C$45)+'00参数面板'!$F$36*30+'00参数面板'!$H$36*'00参数面板'!$C$45)/'00参数面板'!$C$36</f>
        <v/>
      </c>
    </row>
    <row r="32" ht="21" customHeight="1">
      <c r="A32" s="181">
        <f>'00参数面板'!$A$36</f>
        <v/>
      </c>
      <c r="B32" s="182">
        <f>'00参数面板'!$C$36</f>
        <v/>
      </c>
      <c r="C32" s="183">
        <f>'00参数面板'!$E$36</f>
        <v/>
      </c>
      <c r="D32" s="184">
        <f>'00参数面板'!$C$36/'00参数面板'!$E$36</f>
        <v/>
      </c>
      <c r="E32" s="181">
        <f>'00参数面板'!$A$46</f>
        <v/>
      </c>
      <c r="F32" s="50">
        <f>'00参数面板'!$C$46</f>
        <v/>
      </c>
      <c r="G32" s="50">
        <f>'00参数面板'!$D$46</f>
        <v/>
      </c>
      <c r="H32" s="186">
        <f>('00参数面板'!$C$36/'00参数面板'!$E$36)*'00参数面板'!$C$46</f>
        <v/>
      </c>
      <c r="I32" s="185">
        <f>('00参数面板'!$C$36/'00参数面板'!$E$36)*'00参数面板'!$C$46/'00参数面板'!$C$36</f>
        <v/>
      </c>
      <c r="J32" s="187">
        <f>'00参数面板'!$F$36</f>
        <v/>
      </c>
      <c r="K32" s="186">
        <f>'00参数面板'!$F$36*30</f>
        <v/>
      </c>
      <c r="L32" s="186">
        <f>'00参数面板'!$H$36*'00参数面板'!$C$46</f>
        <v/>
      </c>
      <c r="M32" s="186">
        <f>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N32" s="186">
        <f>2500000*0.05*0.4*(('00参数面板'!$G$36*'00参数面板'!$D$36)/('00参数面板'!$D$33*'00参数面板'!$G$33+'00参数面板'!$D$34*'00参数面板'!$G$34+'00参数面板'!$D$35*'00参数面板'!$G$35+'00参数面板'!$D$36*'00参数面板'!$G$36))/'00参数面板'!$D$36</f>
        <v/>
      </c>
      <c r="O32" s="186">
        <f>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</f>
        <v/>
      </c>
      <c r="P32" s="280">
        <f>('00参数面板'!$F$36*30/30*30+2500000*0.05*0.4*(('00参数面板'!$G$36*'00参数面板'!$D$36)/('00参数面板'!$D$33*'00参数面板'!$G$33+'00参数面板'!$D$34*'00参数面板'!$G$34+'00参数面板'!$D$35*'00参数面板'!$G$35+'00参数面板'!$D$36*'00参数面板'!$G$36))/'00参数面板'!$D$36+500000*(('00参数面板'!$G$36*'00参数面板'!$D$36)/('00参数面板'!$D$33*'00参数面板'!$G$33+'00参数面板'!$D$34*'00参数面板'!$G$34+'00参数面板'!$D$35*'00参数面板'!$G$35+'00参数面板'!$D$36*'00参数面板'!$G$36))/'00参数面板'!$D$36/12)/'00参数面板'!$C$36</f>
        <v/>
      </c>
      <c r="Q32" s="186">
        <f>(('00参数面板'!$C$36/'00参数面板'!$E$36)*'00参数面板'!$C$46)+'00参数面板'!$F$36*30+'00参数面板'!$H$36*'00参数面板'!$C$46</f>
        <v/>
      </c>
      <c r="R32" s="185">
        <f>((('00参数面板'!$C$36/'00参数面板'!$E$36)*'00参数面板'!$C$46)+'00参数面板'!$F$36*30+'00参数面板'!$H$36*'00参数面板'!$C$46)/'00参数面板'!$C$36</f>
        <v/>
      </c>
    </row>
    <row r="33" ht="4" customHeight="1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</row>
    <row r="34" ht="10" customHeight="1"/>
    <row r="35" ht="26" customHeight="1">
      <c r="A35" s="188" t="inlineStr">
        <is>
          <t>▌ 图表数据（总资产引用矩阵列17）</t>
        </is>
      </c>
      <c r="B35" s="296" t="n"/>
      <c r="C35" s="296" t="n"/>
      <c r="D35" s="296" t="n"/>
      <c r="E35" s="296" t="n"/>
      <c r="F35" s="296" t="n"/>
      <c r="G35" s="296" t="n"/>
      <c r="H35" s="297" t="n"/>
    </row>
    <row r="36" ht="28" customHeight="1">
      <c r="A36" s="189" t="inlineStr">
        <is>
          <t>节点\阶段</t>
        </is>
      </c>
      <c r="B36" s="189">
        <f>'00参数面板'!$A$41</f>
        <v/>
      </c>
      <c r="C36" s="189">
        <f>'00参数面板'!$A$42</f>
        <v/>
      </c>
      <c r="D36" s="189">
        <f>'00参数面板'!$A$43</f>
        <v/>
      </c>
      <c r="E36" s="189">
        <f>'00参数面板'!$A$44</f>
        <v/>
      </c>
      <c r="F36" s="189">
        <f>'00参数面板'!$A$45</f>
        <v/>
      </c>
      <c r="G36" s="189">
        <f>'00参数面板'!$A$46</f>
        <v/>
      </c>
    </row>
    <row r="37" ht="20" customHeight="1">
      <c r="A37" s="189">
        <f>'00参数面板'!$A$33</f>
        <v/>
      </c>
      <c r="B37" s="190">
        <f>Q6</f>
        <v/>
      </c>
      <c r="C37" s="190">
        <f>Q7</f>
        <v/>
      </c>
      <c r="D37" s="190">
        <f>Q8</f>
        <v/>
      </c>
      <c r="E37" s="190">
        <f>Q9</f>
        <v/>
      </c>
      <c r="F37" s="190">
        <f>Q10</f>
        <v/>
      </c>
      <c r="G37" s="190">
        <f>Q11</f>
        <v/>
      </c>
    </row>
    <row r="38" ht="20" customHeight="1">
      <c r="A38" s="189">
        <f>'00参数面板'!$A$34</f>
        <v/>
      </c>
      <c r="B38" s="190">
        <f>Q13</f>
        <v/>
      </c>
      <c r="C38" s="190">
        <f>Q14</f>
        <v/>
      </c>
      <c r="D38" s="190">
        <f>Q15</f>
        <v/>
      </c>
      <c r="E38" s="190">
        <f>Q16</f>
        <v/>
      </c>
      <c r="F38" s="190">
        <f>Q17</f>
        <v/>
      </c>
      <c r="G38" s="190">
        <f>Q18</f>
        <v/>
      </c>
    </row>
    <row r="39" ht="20" customHeight="1">
      <c r="A39" s="189">
        <f>'00参数面板'!$A$35</f>
        <v/>
      </c>
      <c r="B39" s="190">
        <f>Q20</f>
        <v/>
      </c>
      <c r="C39" s="190">
        <f>Q21</f>
        <v/>
      </c>
      <c r="D39" s="190">
        <f>Q22</f>
        <v/>
      </c>
      <c r="E39" s="190">
        <f>Q23</f>
        <v/>
      </c>
      <c r="F39" s="190">
        <f>Q24</f>
        <v/>
      </c>
      <c r="G39" s="190">
        <f>Q25</f>
        <v/>
      </c>
    </row>
    <row r="40" ht="20" customHeight="1">
      <c r="A40" s="189">
        <f>'00参数面板'!$A$36</f>
        <v/>
      </c>
      <c r="B40" s="190">
        <f>Q27</f>
        <v/>
      </c>
      <c r="C40" s="190">
        <f>Q28</f>
        <v/>
      </c>
      <c r="D40" s="190">
        <f>Q29</f>
        <v/>
      </c>
      <c r="E40" s="190">
        <f>Q30</f>
        <v/>
      </c>
      <c r="F40" s="190">
        <f>Q31</f>
        <v/>
      </c>
      <c r="G40" s="190">
        <f>Q32</f>
        <v/>
      </c>
    </row>
    <row r="41" ht="10" customHeight="1"/>
    <row r="42" ht="28" customHeight="1">
      <c r="A42" s="189" t="inlineStr">
        <is>
          <t>节点\月收益</t>
        </is>
      </c>
      <c r="B42" s="189">
        <f>'00参数面板'!$A$41</f>
        <v/>
      </c>
      <c r="C42" s="189">
        <f>'00参数面板'!$A$42</f>
        <v/>
      </c>
      <c r="D42" s="189">
        <f>'00参数面板'!$A$43</f>
        <v/>
      </c>
      <c r="E42" s="189">
        <f>'00参数面板'!$A$44</f>
        <v/>
      </c>
      <c r="F42" s="189">
        <f>'00参数面板'!$A$45</f>
        <v/>
      </c>
      <c r="G42" s="189">
        <f>'00参数面板'!$A$46</f>
        <v/>
      </c>
    </row>
    <row r="43" ht="20" customHeight="1">
      <c r="A43" s="189">
        <f>'00参数面板'!$A$33</f>
        <v/>
      </c>
      <c r="B43" s="295">
        <f>O6</f>
        <v/>
      </c>
      <c r="C43" s="295">
        <f>O7</f>
        <v/>
      </c>
      <c r="D43" s="295">
        <f>O8</f>
        <v/>
      </c>
      <c r="E43" s="295">
        <f>O9</f>
        <v/>
      </c>
      <c r="F43" s="295">
        <f>O10</f>
        <v/>
      </c>
      <c r="G43" s="295">
        <f>O11</f>
        <v/>
      </c>
    </row>
    <row r="44" ht="20" customHeight="1">
      <c r="A44" s="189">
        <f>'00参数面板'!$A$34</f>
        <v/>
      </c>
      <c r="B44" s="295">
        <f>O13</f>
        <v/>
      </c>
      <c r="C44" s="295">
        <f>O14</f>
        <v/>
      </c>
      <c r="D44" s="295">
        <f>O15</f>
        <v/>
      </c>
      <c r="E44" s="295">
        <f>O16</f>
        <v/>
      </c>
      <c r="F44" s="295">
        <f>O17</f>
        <v/>
      </c>
      <c r="G44" s="295">
        <f>O18</f>
        <v/>
      </c>
    </row>
    <row r="45" ht="20" customHeight="1">
      <c r="A45" s="189">
        <f>'00参数面板'!$A$35</f>
        <v/>
      </c>
      <c r="B45" s="295">
        <f>O20</f>
        <v/>
      </c>
      <c r="C45" s="295">
        <f>O21</f>
        <v/>
      </c>
      <c r="D45" s="295">
        <f>O22</f>
        <v/>
      </c>
      <c r="E45" s="295">
        <f>O23</f>
        <v/>
      </c>
      <c r="F45" s="295">
        <f>O24</f>
        <v/>
      </c>
      <c r="G45" s="295">
        <f>O25</f>
        <v/>
      </c>
    </row>
    <row r="46" ht="20" customHeight="1">
      <c r="A46" s="189">
        <f>'00参数面板'!$A$36</f>
        <v/>
      </c>
      <c r="B46" s="295">
        <f>O27</f>
        <v/>
      </c>
      <c r="C46" s="295">
        <f>O28</f>
        <v/>
      </c>
      <c r="D46" s="295">
        <f>O29</f>
        <v/>
      </c>
      <c r="E46" s="295">
        <f>O30</f>
        <v/>
      </c>
      <c r="F46" s="295">
        <f>O31</f>
        <v/>
      </c>
      <c r="G46" s="295">
        <f>O32</f>
        <v/>
      </c>
    </row>
  </sheetData>
  <mergeCells count="7">
    <mergeCell ref="A35:H35"/>
    <mergeCell ref="I2:M2"/>
    <mergeCell ref="N2:R2"/>
    <mergeCell ref="A1:R1"/>
    <mergeCell ref="A2:D2"/>
    <mergeCell ref="E2:H2"/>
    <mergeCell ref="A4:R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2026-04-20T08:27:38Z</dcterms:created>
  <dcterms:modified xmlns:dcterms="http://purl.org/dc/terms/" xmlns:xsi="http://www.w3.org/2001/XMLSchema-instance" xsi:type="dcterms:W3CDTF">2026-04-20T08:30:57Z</dcterms:modified>
</cp:coreProperties>
</file>